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activeTab="1"/>
  </bookViews>
  <sheets>
    <sheet name="服务BOQ-技术平台部1210" sheetId="1" state="hidden" r:id="rId1"/>
    <sheet name="附件1" sheetId="3" r:id="rId2"/>
    <sheet name="服务BOQ（含在途、入场、现场服务工时、离场交接）" sheetId="4" state="hidden" r:id="rId3"/>
    <sheet name="储能系统更换部件及耗时" sheetId="5"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<sst xmlns="http://schemas.openxmlformats.org/spreadsheetml/2006/main" count="5435" uniqueCount="1803">
  <si>
    <t>光储产品服务BOQ_GB</t>
  </si>
  <si>
    <t>文件版本</t>
  </si>
  <si>
    <t>V1.0</t>
  </si>
  <si>
    <t>适用标准</t>
  </si>
  <si>
    <t>GB</t>
  </si>
  <si>
    <t>编制</t>
  </si>
  <si>
    <t>殷述萍</t>
  </si>
  <si>
    <t>审核</t>
  </si>
  <si>
    <t>谢姚安、黄金良、尹威、杜碧松</t>
  </si>
  <si>
    <t>密级：重要</t>
  </si>
  <si>
    <t>批准</t>
  </si>
  <si>
    <t>茆俊伟</t>
  </si>
  <si>
    <t>发布日期</t>
  </si>
  <si>
    <t>说明：</t>
  </si>
  <si>
    <t>序号</t>
  </si>
  <si>
    <t>业务场景</t>
  </si>
  <si>
    <t>业务场景细分</t>
  </si>
  <si>
    <t>产品类别</t>
  </si>
  <si>
    <t>产品型号</t>
  </si>
  <si>
    <t>服务产品</t>
  </si>
  <si>
    <t>服务产品说明</t>
  </si>
  <si>
    <t>计时单位</t>
  </si>
  <si>
    <t>数量</t>
  </si>
  <si>
    <t>项目场景工时（H)</t>
  </si>
  <si>
    <t xml:space="preserve"> 备注</t>
  </si>
  <si>
    <t>平地</t>
  </si>
  <si>
    <t>水上</t>
  </si>
  <si>
    <t>山地</t>
  </si>
  <si>
    <t>高原</t>
  </si>
  <si>
    <t>屋顶</t>
  </si>
  <si>
    <t>其他</t>
  </si>
  <si>
    <t>其他_在途</t>
  </si>
  <si>
    <t>前往项目地</t>
  </si>
  <si>
    <t>次</t>
  </si>
  <si>
    <t xml:space="preserve"> 按需</t>
  </si>
  <si>
    <t>其他_入场</t>
  </si>
  <si>
    <t>开票、培训、PPE穿戴等</t>
  </si>
  <si>
    <t>其他_离场</t>
  </si>
  <si>
    <t>垃圾清运、服务报告整理回填</t>
  </si>
  <si>
    <t>运维</t>
  </si>
  <si>
    <t>整改,故障恢复</t>
  </si>
  <si>
    <t>户用分布式</t>
  </si>
  <si>
    <t>SG30CX</t>
  </si>
  <si>
    <t>运维_SG30CX_整机更换</t>
  </si>
  <si>
    <t>SG30CX整机更换</t>
  </si>
  <si>
    <t xml:space="preserve"> 台</t>
  </si>
  <si>
    <t>/</t>
  </si>
  <si>
    <t>SG50CX</t>
  </si>
  <si>
    <t>运维_SG50CX_整机更换</t>
  </si>
  <si>
    <t>SG50CX整机更换</t>
  </si>
  <si>
    <t>SG110CX、SG110HX</t>
  </si>
  <si>
    <t>运维_SG110系列_整机更换</t>
  </si>
  <si>
    <t>SG110CX整机更换</t>
  </si>
  <si>
    <t>交付</t>
  </si>
  <si>
    <t>地面-组串式</t>
  </si>
  <si>
    <t>SG320HX</t>
  </si>
  <si>
    <t>交付_SG320_产品调试</t>
  </si>
  <si>
    <t>SG320系列逆变器并网调试服务</t>
  </si>
  <si>
    <t>台</t>
  </si>
  <si>
    <t>冷调-逆变器安装及固定检查</t>
  </si>
  <si>
    <t>冷调-逆变器直流侧检查</t>
  </si>
  <si>
    <t>冷调-逆变器交流侧检查</t>
  </si>
  <si>
    <t>热调—初始化(含方阵内移动）</t>
  </si>
  <si>
    <t>热调—数采通讯配置</t>
  </si>
  <si>
    <t>方阵</t>
  </si>
  <si>
    <t>SG320HX/SG225HX</t>
  </si>
  <si>
    <t>运维_SG320/SG225_产品预防性维护</t>
  </si>
  <si>
    <t>SG320/SG225系列逆变器运维巡检服务</t>
  </si>
  <si>
    <t>故障恢复</t>
  </si>
  <si>
    <t>运维_SG320HX_一级故障恢复</t>
  </si>
  <si>
    <t>需6个小时以上恢复的故障，具体见故障分级明细</t>
  </si>
  <si>
    <t>项</t>
  </si>
  <si>
    <t>故障分级明细见附件1</t>
  </si>
  <si>
    <t>运维_SG320HX_二级故障恢复</t>
  </si>
  <si>
    <t>6个小时内恢复的故障，具体见故障分级明细</t>
  </si>
  <si>
    <t>运维_SG320HX_三级故障恢复</t>
  </si>
  <si>
    <t>4个小时内能恢复的故障，具体见故障分级明细</t>
  </si>
  <si>
    <t>运维_SG320HX_四级故障恢复</t>
  </si>
  <si>
    <t>2个小时内能恢复的故障，具体见故障分级明细</t>
  </si>
  <si>
    <t>整机更换_整改、维修</t>
  </si>
  <si>
    <t>≤3台产品，按4人配合作业</t>
  </si>
  <si>
    <t>＞3台产品，按4人配合作业</t>
  </si>
  <si>
    <t>地面-集中式</t>
  </si>
  <si>
    <t>1+X</t>
  </si>
  <si>
    <t>交付_1+X_产品调试</t>
  </si>
  <si>
    <t>SG3300UD-MV系列逆变器并网调试服务</t>
  </si>
  <si>
    <t>冷调-设备出厂检验及安装</t>
  </si>
  <si>
    <t>冷调-开关柜 (RMU) 检查</t>
  </si>
  <si>
    <t>冷调-配电柜检查</t>
  </si>
  <si>
    <t>冷调-变压器检查</t>
  </si>
  <si>
    <t>冷调-SG1100UD逆变器单元检查</t>
  </si>
  <si>
    <t>unit</t>
  </si>
  <si>
    <t>热调</t>
  </si>
  <si>
    <t>运维_1+X_产品预防性维护</t>
  </si>
  <si>
    <t>1+X系列逆变器运维服务</t>
  </si>
  <si>
    <t>17.1</t>
  </si>
  <si>
    <t>一般检查</t>
  </si>
  <si>
    <t>1.检查警示标签完整
2.检查接地电阻
3.检查设备整体外观</t>
  </si>
  <si>
    <t>带电</t>
  </si>
  <si>
    <t>17.2</t>
  </si>
  <si>
    <t>基础检查</t>
  </si>
  <si>
    <t>1.检查基础结构
2.检查螺栓紧固情况</t>
  </si>
  <si>
    <t>17.3</t>
  </si>
  <si>
    <t>检查系统状态</t>
  </si>
  <si>
    <t>1.检查内部元件和主电路是否变形或损坏。
2.检查产品内部是否有冷凝。
3.检查内部元器件是否可靠固定。</t>
  </si>
  <si>
    <t>17.4</t>
  </si>
  <si>
    <t>外观检查</t>
  </si>
  <si>
    <t>1.检查产品外部或周围无易燃易爆物品、安装工具或其他物品。
2.检查逆变器外壳是否有腐蚀迹象。
3.检查所有外部螺栓是否紧固牢固。
4.检查门锁和铰链是否正常工作。
5.检查密封条完好，密封完好。</t>
  </si>
  <si>
    <t>17.5</t>
  </si>
  <si>
    <t>检查内部组件和进/出风口的清洁度</t>
  </si>
  <si>
    <t>1.清洁逆变器内部组件的灰尘。</t>
  </si>
  <si>
    <t>17.6</t>
  </si>
  <si>
    <t>1.检查顶部进气口是否积尘。
2.检查底部出风口是否积尘。</t>
  </si>
  <si>
    <t>17.7</t>
  </si>
  <si>
    <t>检查电缆连接</t>
  </si>
  <si>
    <t>1.检查所有电缆入口是否正确密封。
2.检查直流电缆和端子是否损坏。
3.检查所有带有金属零件的电缆接触面是否损坏。
4.检查接地电缆。
5.检查所有电缆是否正确布线且无短路。</t>
  </si>
  <si>
    <t>17.8</t>
  </si>
  <si>
    <t>检查开关</t>
  </si>
  <si>
    <t>1.检查启动/停止旋钮功能正常。
2.检查紧急停止按钮操作是否正确。
3.模拟断电。</t>
  </si>
  <si>
    <t>17.9</t>
  </si>
  <si>
    <t>通过Web界面查看参数信息</t>
  </si>
  <si>
    <t>1.登录到Web。
2.查看逆变器参数设置。
3.查看历史数据
4.查看AI/DI节点信息</t>
  </si>
  <si>
    <t>17.10</t>
  </si>
  <si>
    <t>检查变压器外部状态</t>
  </si>
  <si>
    <t>1.检查变压器是否漏油。
2.检查油位计是否正常工作。
3.检查工作温度是否在正常范围内。
4.检查工作噪音是否在正常范围内。
5.检查外部腐蚀。
6.检查变压器呼吸器/除湿器是否正常工作。</t>
  </si>
  <si>
    <t>17.11</t>
  </si>
  <si>
    <t>电缆连接</t>
  </si>
  <si>
    <t>1.检查电气连接。
2.检查变压器盖是否紧闭。</t>
  </si>
  <si>
    <t>17.12</t>
  </si>
  <si>
    <t>变压器保护</t>
  </si>
  <si>
    <t>1.检查Web界面，查看泄压阀、油温或油压等是否有异常告警。
2.检查泄压阀、温度计、气体继电器等部件上的仪表显示值是否在正常范围内。
3.查看液位计是否随油温的变化进行相应的变化。</t>
  </si>
  <si>
    <t>17.13</t>
  </si>
  <si>
    <t>油样分析</t>
  </si>
  <si>
    <t>提取油样，由第三方专业机构进行分析。</t>
  </si>
  <si>
    <t>17.14</t>
  </si>
  <si>
    <t>检查环网柜的内部状况</t>
  </si>
  <si>
    <t>1.在断电的情况下检查环网柜内部有无积灰。
2.检查环网柜有无结露。</t>
  </si>
  <si>
    <t>17.15</t>
  </si>
  <si>
    <t>检查电线连接。</t>
  </si>
  <si>
    <t>17.16</t>
  </si>
  <si>
    <t>检查电缆接头</t>
  </si>
  <si>
    <t>1.检查电缆接头上是否有烧伤痕迹。
2.检查电缆接头上是否有放电迹象。
3.检查电缆接头在应力下没有扭曲。
4.目视检查电缆固定是否在应力下打滑。
5.检查电缆夹是否牢固。</t>
  </si>
  <si>
    <t>17.17</t>
  </si>
  <si>
    <t>检查开关功能</t>
  </si>
  <si>
    <t>1.检查交流侧断路器开合是否正常。
2.检查RMU断路器是否正确断开和闭合。
3.检查RMU隔离开关是否正确打开和关闭。
4.检查RMU接地开关是否正确断开和闭合。</t>
  </si>
  <si>
    <t>17.18</t>
  </si>
  <si>
    <t>检查保护参数设置</t>
  </si>
  <si>
    <t>检查RMU中的保护参数设置是否正确。</t>
  </si>
  <si>
    <t>17.19</t>
  </si>
  <si>
    <t>检查室外RMU空气入口和出口的清洁度</t>
  </si>
  <si>
    <t>检查室外RMU的进风口和出风口无灰尘。</t>
  </si>
  <si>
    <t>17.20</t>
  </si>
  <si>
    <t>检查室外RMU节点信号</t>
  </si>
  <si>
    <t>检查RMU的报警和跳闸信号是否正确。</t>
  </si>
  <si>
    <t>17.21</t>
  </si>
  <si>
    <t>检查外部条件</t>
  </si>
  <si>
    <t>1.检查柜体周围是否有易燃材料。
2.检查配电柜是否可靠固定。
3.检查警告标签是否清晰、完好。
4.检查柜体是否有腐蚀迹象。
5.检查门锁和铰链是否正常工作。</t>
  </si>
  <si>
    <t>17.22</t>
  </si>
  <si>
    <t>检查配电柜的清洁度</t>
  </si>
  <si>
    <t>1.检查内部组件上是否有灰尘。
2.检查配电柜的进气口没有堵塞。
3.检查配电柜的出风口没有堵塞。
4.检查配电柜内是否有异物。
5.检查配电柜内是否进水或冷凝。</t>
  </si>
  <si>
    <t>17.23</t>
  </si>
  <si>
    <t>检查配电柜内部情况</t>
  </si>
  <si>
    <t>1.检查内部限位杆是否正常工作。
2.检查内盖板螺栓紧固牢固。</t>
  </si>
  <si>
    <t>17.24</t>
  </si>
  <si>
    <t>检查配电柜内部元件</t>
  </si>
  <si>
    <t>1.检查配电柜总开关开闭正常。
2.检查微型断路器是否正确操作。
3.检查仪表的状况。
4.检查风扇是否正常运行。</t>
  </si>
  <si>
    <t>17.25</t>
  </si>
  <si>
    <t>检查配电柜的电缆连接</t>
  </si>
  <si>
    <t>1，检查配电柜的进线电缆区域是否正确密封。
2.检查接地电缆是否正确接地。
3.检查电缆连接是否牢固。</t>
  </si>
  <si>
    <t>17.26</t>
  </si>
  <si>
    <t>检查运行环境</t>
  </si>
  <si>
    <t>1.检查工作温度和湿度符合要求。
2.检查整体运行环境。</t>
  </si>
  <si>
    <t>17.27</t>
  </si>
  <si>
    <t>检查UPS机柜进风口和出风口的清洁度</t>
  </si>
  <si>
    <t>1.检查进风口清洁度。
2.检查出风口清洁度。</t>
  </si>
  <si>
    <t>17.28</t>
  </si>
  <si>
    <t>检查UPS机柜内部组件</t>
  </si>
  <si>
    <t>1.检查内部清洁度。
2.检查UPS指示灯。
3.检查内部风扇是否正常运行。
4.检查温湿度控制器的状况。
5.检查微型断路器是否正确操作。
6.检查机柜内部是否有大功率负载连接。
7.检查内部电池的状况。</t>
  </si>
  <si>
    <t>运维_1+X_一级故障恢复</t>
  </si>
  <si>
    <t>运维_1+X_二级故障恢复</t>
  </si>
  <si>
    <t>运维_1+X_三级故障恢复</t>
  </si>
  <si>
    <t>运维_1+X_四级故障恢复</t>
  </si>
  <si>
    <t>SG3125HV</t>
  </si>
  <si>
    <t>运维_SG3125HV_产品预防性维护</t>
  </si>
  <si>
    <t>SG3125HV-MV系列逆变器运维服务</t>
  </si>
  <si>
    <t>22.1</t>
  </si>
  <si>
    <t>检查警告标签完好性</t>
  </si>
  <si>
    <t>检查机器警告标志和其他设备标志，如果任何标志模糊或损坏，请及时更换。</t>
  </si>
  <si>
    <t>22.2</t>
  </si>
  <si>
    <t>检查接地电阻</t>
  </si>
  <si>
    <t>目测逆变器接地点的接地线或接地扁钢是否损坏或锈蚀
用万用表测量接地点至地面可靠接地点之间的导体电阻。电阻不应大于4 Ω，否则应及时更换接地扁钢或更换接地线</t>
  </si>
  <si>
    <t>22.3</t>
  </si>
  <si>
    <t>检查产品外部脏污和锈蚀情况.</t>
  </si>
  <si>
    <t>检查外部损坏，并根据损坏的严重程度选择适当的维修方法。</t>
  </si>
  <si>
    <t>22.4</t>
  </si>
  <si>
    <t>检查产品的内部和外壳温度是否过高。检查产品内部及外壳温度是否过高</t>
  </si>
  <si>
    <t>22.5</t>
  </si>
  <si>
    <t>检查设备内部器件和主电路是否变形或破损</t>
  </si>
  <si>
    <t>22.6</t>
  </si>
  <si>
    <t>检查产品内部是否存在凝露。</t>
  </si>
  <si>
    <t>22.7</t>
  </si>
  <si>
    <t>查看内部设备在运行过程中，是否有异常噪音。</t>
  </si>
  <si>
    <t>22.8</t>
  </si>
  <si>
    <t>检查不间断电源</t>
  </si>
  <si>
    <t>打开配电柜，检查UPS指示灯以确定电池SOC和操作状态。打开配电柜，查看UPS指示灯判断电池容量及工作状态</t>
  </si>
  <si>
    <t>22.9</t>
  </si>
  <si>
    <t>检查通讯连接</t>
  </si>
  <si>
    <t>检查智能单元测试pt板工作是否正常</t>
  </si>
  <si>
    <t>22.10</t>
  </si>
  <si>
    <t>检查外观</t>
  </si>
  <si>
    <t>检查产品的顶部和周围区域是否有任何易燃或易爆材料，
安装工具或其他项目。.检查产品顶部和四周是否放置易燃易爆物品、安装工具或其他杂物。
检查产品门锁和铰链是否正常使用。
检查密封条是否密封严实。</t>
  </si>
  <si>
    <t>22.11</t>
  </si>
  <si>
    <t>检查内部器件及进出风口清洁度</t>
  </si>
  <si>
    <t>清洁逆变器内部器件灰尘
检查散热器是否存在灰尘
检查顶部进风口是否存在灰尘。如有必要，及时清理灰尘。
检查底部出风口是否存在灰尘。如有必要，及时清理灰尘。</t>
  </si>
  <si>
    <t>22.12</t>
  </si>
  <si>
    <t>检查风机</t>
  </si>
  <si>
    <t>检查风机是否可以满转运行
检查风机运行时是否出现异常声响。
风机内部如有灰尘，请及时清洁风机</t>
  </si>
  <si>
    <t>22.13</t>
  </si>
  <si>
    <t>检查线缆连接</t>
  </si>
  <si>
    <t>检查所有线缆入口是否正确密封</t>
  </si>
  <si>
    <t>22.14</t>
  </si>
  <si>
    <t>检查电源电缆和铜鼻是否损坏。</t>
  </si>
  <si>
    <t>22.15</t>
  </si>
  <si>
    <t>检查控制电缆与金属接触的表面是否损坏。</t>
  </si>
  <si>
    <t>22.16</t>
  </si>
  <si>
    <t>检查控制电缆连接是否松动。</t>
  </si>
  <si>
    <t>22.17</t>
  </si>
  <si>
    <t>检查所有线缆布线是否正确且无短路。</t>
  </si>
  <si>
    <t>22.18</t>
  </si>
  <si>
    <t>检查连接端子的包装带是否已拆除。如果没有，请删除
包装带迅速。检查连接端子的包裹带是否被剥去。若未剥，及时取出包裹带</t>
  </si>
  <si>
    <t>22.19</t>
  </si>
  <si>
    <t>检查设备维护状态</t>
  </si>
  <si>
    <t>检查逆变器内接触器是否正常</t>
  </si>
  <si>
    <t>22.20</t>
  </si>
  <si>
    <t>检查逆变器的指示灯是否正常</t>
  </si>
  <si>
    <t>22.21</t>
  </si>
  <si>
    <t>检查电抗器、交流开关、直流开关的连接处的紧固螺丝是否松动</t>
  </si>
  <si>
    <t>22.22</t>
  </si>
  <si>
    <t>检查安全开关</t>
  </si>
  <si>
    <t>检查启停旋钮是否正常</t>
  </si>
  <si>
    <t>22.23</t>
  </si>
  <si>
    <t>检查紧急停机按钮是否正常。</t>
  </si>
  <si>
    <t>22.24</t>
  </si>
  <si>
    <t>检查LCD停机功能是否正常</t>
  </si>
  <si>
    <t>22.25</t>
  </si>
  <si>
    <t>模拟下电停运</t>
  </si>
  <si>
    <t>22.26</t>
  </si>
  <si>
    <t>Web端查看参数信息的参数信息</t>
  </si>
  <si>
    <t>用户登录</t>
  </si>
  <si>
    <t>22.27</t>
  </si>
  <si>
    <t>查看逆变器参数设置</t>
  </si>
  <si>
    <t>22.28</t>
  </si>
  <si>
    <t>查看历史信息</t>
  </si>
  <si>
    <t>22.29</t>
  </si>
  <si>
    <t>检查LCD触摸屏</t>
  </si>
  <si>
    <t>检查LCD触摸屏时间是否准确检查LCD触摸屏上显示的时间是否准确。</t>
  </si>
  <si>
    <t>22.30</t>
  </si>
  <si>
    <t>如果LCD触摸屏后面的纽扣电池出现故障，请更换新的纽扣电池
当LCD触摸屏后的纽扣电池无法供电时，请按以下步骤更换新的纽扣电池。</t>
  </si>
  <si>
    <t>22.31</t>
  </si>
  <si>
    <t>查看逆变器的运行信息。</t>
  </si>
  <si>
    <t>22.32</t>
  </si>
  <si>
    <t>22.33</t>
  </si>
  <si>
    <t>检查软件版本。</t>
  </si>
  <si>
    <t>22.34</t>
  </si>
  <si>
    <t>检查设备的PT、PD、PA板是否正常运行，检查设备的PT、PD、PA板等是否正常运行。</t>
  </si>
  <si>
    <t>22.35</t>
  </si>
  <si>
    <t>检查变压器是否漏油</t>
  </si>
  <si>
    <t>22.36</t>
  </si>
  <si>
    <t>检查油位计是否正常</t>
  </si>
  <si>
    <t>22.37</t>
  </si>
  <si>
    <t>检查运行温度是否正常。</t>
  </si>
  <si>
    <t>22.38</t>
  </si>
  <si>
    <t>检查运行噪音是否正常</t>
  </si>
  <si>
    <t>22.39</t>
  </si>
  <si>
    <t>检查外部是否有腐蚀。</t>
  </si>
  <si>
    <t>22.40</t>
  </si>
  <si>
    <t>检查变压器的主要器件</t>
  </si>
  <si>
    <t>22.41</t>
  </si>
  <si>
    <t>检查电气连接</t>
  </si>
  <si>
    <t>22.42</t>
  </si>
  <si>
    <t>检查变压器高、低压线缆连接处盖板是否紧密闭合</t>
  </si>
  <si>
    <t>22.43</t>
  </si>
  <si>
    <t>检查变压器保护状态</t>
  </si>
  <si>
    <t>在web界面上检查泄压阀是否有任何故障警报，
从web端查看压力释放阀、温度计、气体继电器等设备是否出现故障报警的温度计、气体继电器等设备</t>
  </si>
  <si>
    <t>22.44</t>
  </si>
  <si>
    <t>检查泄压阀、温度计、气体继电器、
其他设备在正常范围内。查看压力释放阀、温度计、气体继电器等器件的表盘指示是否处于正常范围内</t>
  </si>
  <si>
    <t>22.45</t>
  </si>
  <si>
    <t>查看液位计是否随油温的变化进行相应的变化。</t>
  </si>
  <si>
    <t>22.46</t>
  </si>
  <si>
    <t>检查接地状态</t>
  </si>
  <si>
    <t>具体检测请联系第三方专业检测机构。</t>
  </si>
  <si>
    <t>22.47</t>
  </si>
  <si>
    <t>检查变压器节点信号</t>
  </si>
  <si>
    <t>使用网线将PC连接到LCD屏幕的维护端口。输入
默认IP: 192.168.1.100登录到web界面。</t>
  </si>
  <si>
    <t>22.48</t>
  </si>
  <si>
    <t>输入操作和维护用户名维护和密码adamg1。</t>
  </si>
  <si>
    <t>22.49</t>
  </si>
  <si>
    <t>单击 “系统设置 → Di设置” 以访问用于检查和配置的界面
节点。</t>
  </si>
  <si>
    <t>22.50</t>
  </si>
  <si>
    <t>点击 “系统设置 → Ai进行设置” 进入检查配置界面
节点。</t>
  </si>
  <si>
    <t>22.51</t>
  </si>
  <si>
    <t>检查柜内清洁度</t>
  </si>
  <si>
    <t>检查环网内部是否有灰尘。</t>
  </si>
  <si>
    <t>22.52</t>
  </si>
  <si>
    <t>检查电气连接。</t>
  </si>
  <si>
    <t>22.53</t>
  </si>
  <si>
    <t>检查接地连接。</t>
  </si>
  <si>
    <t>22.54</t>
  </si>
  <si>
    <t>检查逆变器的交流侧断路器是否可以断开。</t>
  </si>
  <si>
    <t>22.55</t>
  </si>
  <si>
    <t>检查环网柜断路器是否可以断开。</t>
  </si>
  <si>
    <t>22.56</t>
  </si>
  <si>
    <t>检查环线主机的隔离开关是否可以关闭。</t>
  </si>
  <si>
    <t>22.57</t>
  </si>
  <si>
    <t>检查环网单元的接地开关是否可以断开。</t>
  </si>
  <si>
    <t>22.58</t>
  </si>
  <si>
    <t>检查继保功能(选配)</t>
  </si>
  <si>
    <t>检查保护继电器功能是否正常。</t>
  </si>
  <si>
    <t>22.59</t>
  </si>
  <si>
    <t>检查地基结构</t>
  </si>
  <si>
    <t>目视检查基础是否有明显的间隙或任何倾斜。</t>
  </si>
  <si>
    <t>22.60</t>
  </si>
  <si>
    <t>目视检查基础混凝土结构的油漆状况。补漆损坏
区域，如果有的话。</t>
  </si>
  <si>
    <t>22.61</t>
  </si>
  <si>
    <t>目视检查基础混凝土结构是否渗水。如果渗水是
观察，对基础立即采取防水措施。</t>
  </si>
  <si>
    <t>22.62</t>
  </si>
  <si>
    <t>使用水准仪等仪器确定基础表面是否倾斜。</t>
  </si>
  <si>
    <t>22.63</t>
  </si>
  <si>
    <t>目视检查基础底部和周围是否有任何杂物，并及时
清理所有碎片。</t>
  </si>
  <si>
    <t>22.64</t>
  </si>
  <si>
    <t>检查产品固定牢固度</t>
  </si>
  <si>
    <t>使用扭矩扳手测量并验证基础处的螺栓扭矩
连接在规范规定的允许范围内。如果有
发现不一致，根据规定的扭矩范围重新拧紧螺栓
手册。</t>
  </si>
  <si>
    <t>22.65</t>
  </si>
  <si>
    <t>目测或使用锤子等工具轻敲预埋膨胀螺栓
或化学螺栓，以确定它们是否松动。如果发现松动，联系
阳光。</t>
  </si>
  <si>
    <t>22.66</t>
  </si>
  <si>
    <t>用角尺检查l型钢是否水平安装。如果有任何l形
钢材安装不正确，重新安装。</t>
  </si>
  <si>
    <t>22.67</t>
  </si>
  <si>
    <t>检查基础预埋槽钢是否牢固焊接到
容器。如果任何焊接接头不牢固，请修复焊接并进行防腐
治疗后。</t>
  </si>
  <si>
    <t>22.68</t>
  </si>
  <si>
    <t>开机前检查</t>
  </si>
  <si>
    <t>所有连接均严格按照相关手册和电路进行
图。</t>
  </si>
  <si>
    <t>22.69</t>
  </si>
  <si>
    <t>内部设备的覆盖物已固定并固定</t>
  </si>
  <si>
    <t>22.70</t>
  </si>
  <si>
    <t>紧急停止按钮被释放。</t>
  </si>
  <si>
    <t>22.71</t>
  </si>
  <si>
    <t>通过使用合适的仪器，确保光伏阵列没有接地故障</t>
  </si>
  <si>
    <t>22.72</t>
  </si>
  <si>
    <r>
      <rPr>
        <sz val="10"/>
        <rFont val="Microsoft YaHei"/>
        <charset val="134"/>
      </rPr>
      <t>用万用表测量直流、交流电压，检查启动条件是否</t>
    </r>
    <r>
      <rPr>
        <sz val="10"/>
        <rFont val="宋体"/>
        <charset val="134"/>
      </rPr>
      <t>满足</t>
    </r>
    <r>
      <rPr>
        <sz val="10"/>
        <rFont val="Microsoft YaHei"/>
        <charset val="134"/>
      </rPr>
      <t>，并确保无过压危险</t>
    </r>
  </si>
  <si>
    <t>22.73</t>
  </si>
  <si>
    <t>用万用表测量直流电压，检查极性是否正确。</t>
  </si>
  <si>
    <t>22.74</t>
  </si>
  <si>
    <t>开机</t>
  </si>
  <si>
    <t>关闭逆变器的上游和下游开关。</t>
  </si>
  <si>
    <t>22.75</t>
  </si>
  <si>
    <t>合上QS25交流维护开关，QS2直流维护开关。</t>
  </si>
  <si>
    <t>22.76</t>
  </si>
  <si>
    <t>通过触摸屏停止逆变器。</t>
  </si>
  <si>
    <t>22.77</t>
  </si>
  <si>
    <t>手动闭合逆变器内部的QS1和QS3直流负载断路开关。如果逆变器
配备储能端口，关闭QS5和QS7。</t>
  </si>
  <si>
    <t>22.78</t>
  </si>
  <si>
    <t>通过触摸屏进行启动操作，逆变器开始并网
操作。</t>
  </si>
  <si>
    <t>22.79</t>
  </si>
  <si>
    <t>Stop关机</t>
  </si>
  <si>
    <t>通过LCD面板上的停止指令停止逆变器。</t>
  </si>
  <si>
    <t>22.80</t>
  </si>
  <si>
    <t>检查并确保QS1和QS3直流负载断路开关断开。如果
逆变器配备了储能端口，确保QS5和QS7
也断开了。</t>
  </si>
  <si>
    <t>22.81</t>
  </si>
  <si>
    <t>断开QS25交流维护开关和QS2直流维护开关。</t>
  </si>
  <si>
    <t>22.82</t>
  </si>
  <si>
    <t>检查以确保断开QF1和QF2交流断路器。</t>
  </si>
  <si>
    <t>22.83</t>
  </si>
  <si>
    <t>断开逆变器下游开关。</t>
  </si>
  <si>
    <t>22.84</t>
  </si>
  <si>
    <t>断开逆变器上游开关。</t>
  </si>
  <si>
    <t>运维_SG3125HV_一级故障恢复</t>
  </si>
  <si>
    <t>运维_SG3125HV_二级故障恢复</t>
  </si>
  <si>
    <t>运维_SG3125HV_三级故障恢复</t>
  </si>
  <si>
    <t>运维_SG3125HV_四级故障恢复</t>
  </si>
  <si>
    <t>整改</t>
  </si>
  <si>
    <t>地面-集中式,地面-组串式</t>
  </si>
  <si>
    <t>光伏产品</t>
  </si>
  <si>
    <t>26年光伏产品整改计划</t>
  </si>
  <si>
    <t xml:space="preserve"> 当前可预知整改项，具体以实际下发为准</t>
  </si>
  <si>
    <t>27.1</t>
  </si>
  <si>
    <t>logger4000  800V端子打胶</t>
  </si>
  <si>
    <t>27.2</t>
  </si>
  <si>
    <t>京泉华（TJ000860）电抗器错片</t>
  </si>
  <si>
    <t>27.3</t>
  </si>
  <si>
    <t>云路（TN000044）电抗器错片</t>
  </si>
  <si>
    <t>27.4</t>
  </si>
  <si>
    <t>法拉电容(CM535)</t>
  </si>
  <si>
    <t>27.5</t>
  </si>
  <si>
    <t>EPCOS电容（CM390）</t>
  </si>
  <si>
    <t>27.6</t>
  </si>
  <si>
    <t>良信断路器（KK000030/KN001067/KK000024）</t>
  </si>
  <si>
    <t>27.7</t>
  </si>
  <si>
    <t>直流风机-泛仕达(ES000202)</t>
  </si>
  <si>
    <t>27.8</t>
  </si>
  <si>
    <t>云路电抗器错片(TJ775)</t>
  </si>
  <si>
    <t>27.9</t>
  </si>
  <si>
    <t>EPCOS电容（CM520）</t>
  </si>
  <si>
    <t>27.10</t>
  </si>
  <si>
    <t>储能</t>
  </si>
  <si>
    <t>ST200CS系列</t>
  </si>
  <si>
    <t>交付_ST200CS_产品调试_单机</t>
  </si>
  <si>
    <t>ST200CS单机性能调试服务</t>
  </si>
  <si>
    <t>交付_ST200CS_产品调试_站级</t>
  </si>
  <si>
    <t>ST200CS站级调试服务</t>
  </si>
  <si>
    <t>站</t>
  </si>
  <si>
    <t>PT2.0HX</t>
  </si>
  <si>
    <t>交付_PT2.0UD_设备到货检查及附件安装</t>
  </si>
  <si>
    <t>设备到货检查、撕膜、MSD及防雨罩安装等</t>
  </si>
  <si>
    <t>MWH</t>
  </si>
  <si>
    <t>BESS吊装</t>
  </si>
  <si>
    <t>设备到货后，核对物料清单及设备本体是否异常，查看集装箱各方位是否有外观变形、损伤、防锈漆脱落及氧化腐蚀等现象。</t>
  </si>
  <si>
    <t>MVS吊装</t>
  </si>
  <si>
    <t>检查设备基础平整度</t>
  </si>
  <si>
    <t>个</t>
  </si>
  <si>
    <t>移除贴膜</t>
  </si>
  <si>
    <t>配合系统吊装至基础</t>
  </si>
  <si>
    <t>Block</t>
  </si>
  <si>
    <t>MSD安装</t>
  </si>
  <si>
    <t>电池系统贴膜移除（送电前进行）</t>
  </si>
  <si>
    <t>变压室防雨罩安装</t>
  </si>
  <si>
    <t>MVS贴膜移除（送电前进行）</t>
  </si>
  <si>
    <t>指导线缆连接</t>
  </si>
  <si>
    <t>一次、二次及接地线缆连接及封堵指导</t>
  </si>
  <si>
    <t>交付_PT2.0HX_冷调检查</t>
  </si>
  <si>
    <t>设备冷调及现场接线检查</t>
  </si>
  <si>
    <t>31.1</t>
  </si>
  <si>
    <t>接地检查</t>
  </si>
  <si>
    <t>箱体是否可靠接地，且接地电阻值小于4Ω。</t>
  </si>
  <si>
    <t>31.2</t>
  </si>
  <si>
    <t>柜门检查</t>
  </si>
  <si>
    <t>柜门及门锁是否能够正常打开和关闭且无损坏；
门板密封条是否有褶皱、破损等；</t>
  </si>
  <si>
    <t>31.3</t>
  </si>
  <si>
    <t>集装箱内部检查</t>
  </si>
  <si>
    <t>箱体内部是否有机械损坏、水迹及氧化腐蚀等现象；
柜体内部是否有遗留工具、零件、钻孔产生的导电灰尘或其他异物；
内部有无机械损伤；
集装箱内部地板、电池pack、线缆等是否有冷却液痕迹；</t>
  </si>
  <si>
    <t>31.4</t>
  </si>
  <si>
    <t>PACK检查</t>
  </si>
  <si>
    <t>检查PACK及连接插头外观是否有划痕、破损及凹陷等影响使用的的问题；
检查PACK间连接线缆或铜排是否可靠连接，且线缆规格符合图纸要求
检查PACK间信号线缆是否连接可靠</t>
  </si>
  <si>
    <t>31.5</t>
  </si>
  <si>
    <t>电池汇流柜检查</t>
  </si>
  <si>
    <t>检查线缆是否破损或裂痕；
检查连接线缆是否可靠连接，且线缆规格符合图纸要求；
检查BCP和PCS的编号是否正确对应；
检查BCP和PCS的极性是否正确对应；
检查确认客户安装的动力线过程中是否存在拉扯导致熔丝歪斜；
检查进线孔是否完成封堵，垃圾是否清理完成</t>
  </si>
  <si>
    <t>31.6</t>
  </si>
  <si>
    <t>电池配电柜检查</t>
  </si>
  <si>
    <t>检查线缆是否破损或裂痕；
检查电源线缆是否可靠连接并具备线缆标识；
检查通讯线缆是否可靠连接并具备线缆标识；
上电前BSP辅助供电回路对应的断路器是否处于断开状态；
紧急停机按钮是否已经放开，并可正常工作；
BSP内各种电气开关状态正常、按钮操作灵活，符合规范要求。（确保所有开关处于断开状态）；
检查进线孔是否完成封堵，垃圾是否清理完成</t>
  </si>
  <si>
    <t>31.7</t>
  </si>
  <si>
    <t>液冷机组及管路检查</t>
  </si>
  <si>
    <t>检查液冷机组线缆是否破损或裂痕，线缆连接是否可靠连接且相序是否正确；
检查所有的标签和标志是否牢靠，没有划痕或其他任何问题；</t>
  </si>
  <si>
    <t>31.8</t>
  </si>
  <si>
    <t>消防系统检查</t>
  </si>
  <si>
    <t>1.根据消防接线图纸检查所有消防系统连接线缆是否可靠连接，设备是否缺少；
2.检查消防系统是否干净整洁，无油漆剥落、锈蚀、凹陷、变形及其他可能影响系统运行的问题；
3.检查所有的标签和标志是否牢靠，没有划痕或其他任何问题；
4.消防钢瓶压力是否在正常范围之内（压力表绿色部分）；
5.检查消防主机和消防电源箱内部蓄电池是否缺少，如果缺少应从随箱物料中寻找并根据厂家规格书安装固定；
6.开箱检查时应检查消防主机和消防电源箱内部蓄电池的连线是否断开，正常情况如果安装蓄电池后未避免电池亏损，会将电池的连线正极或者负极拆除避免形成回路。如果开箱后发现蓄电池的连线都完整，需要注意这些电池可能出现亏损导致消防主机上报故障；
7.开箱检查消防主机或消防电源箱内部消防蓄电池时，应使用万用表测量每块电池的电压是否正常，不应小于额定电压95%，蓄电池电压正常后安装固定后，按照规格书或者标识正确接线，先开主电再开备电，带消防主机开机自检结束后观察主机是否报备电故障，如一切正常则表示备电正常；
8.开箱检查后，不能第一时间上电，应检查气体灭火系统钢瓶上的电磁阀是否从钢瓶拆除或者禁用开关是否在系统禁用和手动状态上，以防止突然上电，系统一些故障导致气体灭火或者气溶胶灭火系统启动；</t>
  </si>
  <si>
    <t>31.9</t>
  </si>
  <si>
    <t>SCC柜检查</t>
  </si>
  <si>
    <t>检查动力线缆是否破损或裂痕，线缆连接是否可靠连接且相序是否正确；
检查通讯电缆、光纤、网线连接良好且各个通讯端口连接各个设备正确；
检查线缆进出口是否完成封堵，垃圾清理完成；
检查SCC柜内各种电气开关状态正常、按钮操作是否灵活，符合规范要求。（确保所有开关处于断开状态）</t>
  </si>
  <si>
    <t>31.10</t>
  </si>
  <si>
    <t>外供电检查</t>
  </si>
  <si>
    <t>检查外供电接线是否紧固；
检查外供电电压等级是否满足要求；</t>
  </si>
  <si>
    <t>31.11</t>
  </si>
  <si>
    <t>通讯线缆检查</t>
  </si>
  <si>
    <t>检查通讯电缆、光纤、网线连接良好且各个通讯端口连接各个设备正确；
根据单线图向光纤融接团队交底光纤连接方式；
打光笔排查光纤跳纤无异常；
排查光纤终端盒内连接无异常；
排查RX、TX跳纤连接顺序正确；
检查网线通断及线序
检查参与环网首尾端SCC柜光纤到CCU光纤终端盒连接正确，打光笔排查光纤链路无异常</t>
  </si>
  <si>
    <t>31.12</t>
  </si>
  <si>
    <t>开关检查</t>
  </si>
  <si>
    <t>确认箱变侧隔离开关、断路器是否在分位，接地刀闸在合位；
确认MVS汇流柜QF1、QF2、Q1、Q2处于断开状态。</t>
  </si>
  <si>
    <t>31.13</t>
  </si>
  <si>
    <t>环网柜（RMU）检查</t>
  </si>
  <si>
    <t>柜体是否可靠接地，且接地电阻值小于4Ω；
检查柜体是否有划痕、破损及凹陷等影响使用的问题，检查柜内是否有异物；
检查警示标签是否牢固黏贴，且清晰可见；
检查环网柜固定螺栓是否紧固，柜体是否稳固；
检查压力表指示是否在正常范围内；
检查操作把手、互锁钥匙是否完备；
检查互感器短接条是否已拆除；
接通辅助电源后，检查继保是否正常带电（屏幕点亮）；
检查线缆绝缘层是否有外观异常；
检查线缆固定扭矩是否满足要求；
检查是否使用线缆夹将线缆有效固定；
检查线缆相序是否正确；
检查进线孔是否有效封堵；
检查隔离开关是否有效闭合；
检查电压互感器熔断器是否已安装（如有）；</t>
  </si>
  <si>
    <t>31.14</t>
  </si>
  <si>
    <t>中压变压器检查</t>
  </si>
  <si>
    <t>柜体是否正确接地，且接地电阻值小于4Ω；
离网测试和并网送电前检查接地刀闸是否正常断开；停电检修需检查接地刀闸是否正常合闸；
检管变压器外观是否完好，部件是否有缺陷，检查是否有异物
；
检查箱变外观是否有漏油痕迹
；
检查套管和箱体连接处是否有渗油痕迹
；
检查散热器表面是否有渗油痕迹
；
检查油位是否在警示标示范围内
；
检查气体继电器里面是否为无气体，蝶阀在打开状态
；
检查压力释放阀压板是否已拆除
；
检查温度计指示温度是否与环温一致
；
检查硅胶是否变成红色
；
储油柜呼吸器是否已安装（带储油柜变压器）
；
检查线缆是否松动、破损等异常
；
检查固定动力线缆的电缆夹是否松动或脱落
；
检查施工方交接试验是否合格
；
检查警示标识是否粘贴牢固，且清晰可见
；
检查无励磁分接开关档位是否在额定档位
；
检查分接片是否在额定档位，螺栓是否已紧固
；
检查交接试验后PT100位置是否已恢复
；
检查交接试验后铁心接地片是否已恢复
；
检查风机出风口贴纸是否已撕掉
；
接通辅助电源后，检查温控器是否上电
；
检查变压器保护节点是否已配置
；</t>
  </si>
  <si>
    <t>交付_PT2.0HX_系统通讯调试_单元级</t>
  </si>
  <si>
    <t>系统通讯调试_单元级</t>
  </si>
  <si>
    <t>光纤链路异常初步排查</t>
  </si>
  <si>
    <t>SCC柜上辅助供电
排查交换机光纤端口是否正常开启；
排查光纤交换机软件版本是否为最新版本；
检查RX、TX跳纤顺序正确；
排查交换机上光模块无异常；
使用打光笔检查SCC柜间光纤链路无异常；
两个交换机之间长ping正常；
关闭电源</t>
  </si>
  <si>
    <t>PCS通讯调试</t>
  </si>
  <si>
    <t>电池舱综合仓上辅助供电；
设置PCS的串口地址与IP地址
关闭电源</t>
  </si>
  <si>
    <t>BSC通讯调试</t>
  </si>
  <si>
    <t>电池舱综合仓上辅助供电
检查电池舱到SCC柜网线
设置BSC的ETH1 ETH2的IP地址
关闭电源</t>
  </si>
  <si>
    <t>电池舱交换机通讯调试</t>
  </si>
  <si>
    <t>设置电池舱交换机的IP地址
关闭电源</t>
  </si>
  <si>
    <t>LC通讯调试</t>
  </si>
  <si>
    <t>SCC柜上辅助供电、或UPS上电
LC的IP地址设置
LC的子设备BSC、PCS设置
关闭电源</t>
  </si>
  <si>
    <t>SCC柜交换机通讯调试</t>
  </si>
  <si>
    <t>SCC柜上辅助供电、或UPS上电
SCC柜交换机IP地址设置
SCC柜交换机环网设置
SCC柜内纵向加密修改IP地址，导入许可，修改密码，导入正式证书
关闭电源</t>
  </si>
  <si>
    <t>三层交换机配置</t>
  </si>
  <si>
    <t>SCC柜数据网交换机VLAN设置</t>
  </si>
  <si>
    <t>电池舱消防主机通讯调试</t>
  </si>
  <si>
    <t>消防主机上备电
设置消防主机时间、地址
设置消防主机组网设置区域机
关闭电源</t>
  </si>
  <si>
    <t>交付_PT2.0HX_系统通讯调试_站级</t>
  </si>
  <si>
    <t>系统通讯调试_站级</t>
  </si>
  <si>
    <t>设备IP地址分配</t>
  </si>
  <si>
    <t>首先与客户确认他们是否需要指定储能设备IP；
根据唯一性、规律性、可扩展性、安全性对所有阳光的设备分配IP地址，制作IP分配表</t>
  </si>
  <si>
    <t>33.2</t>
  </si>
  <si>
    <t>快频装置通讯调试</t>
  </si>
  <si>
    <t>检查CT、PT接线正确
设置快频装置两个IP地址（若需要进行CT、PT设置）</t>
  </si>
  <si>
    <t>33.3</t>
  </si>
  <si>
    <t>CCU交换机通讯调试</t>
  </si>
  <si>
    <t>SCC柜的IP地址设置
SCC柜环网设置</t>
  </si>
  <si>
    <t>33.4</t>
  </si>
  <si>
    <t>EMS通讯调试</t>
  </si>
  <si>
    <t>设置EMS的实际IP、虚拟IP
配置EMS的基本参数、电站总参数
添加LC子设备、快频装置子设备
EMS子设备快频装置CT、PT设置</t>
  </si>
  <si>
    <t>33.5</t>
  </si>
  <si>
    <t>后台消防主机通讯调试</t>
  </si>
  <si>
    <t>后台消防主机地址设置
后台消防主机组网配置添加区域机</t>
  </si>
  <si>
    <t>33.6</t>
  </si>
  <si>
    <t>insight服务器通讯调试</t>
  </si>
  <si>
    <t>设置服务器IP</t>
  </si>
  <si>
    <t>33.7</t>
  </si>
  <si>
    <t>工作站通讯调试</t>
  </si>
  <si>
    <t>设置工作站电脑IP
设置工作站电脑时间</t>
  </si>
  <si>
    <t>33.8</t>
  </si>
  <si>
    <t>设备对时</t>
  </si>
  <si>
    <t>配置EMS、insight设备对时
检查对时是否正常</t>
  </si>
  <si>
    <t>交付_PT2.0HX_系统上电</t>
  </si>
  <si>
    <t>系统上电</t>
  </si>
  <si>
    <t>MVS带电</t>
  </si>
  <si>
    <t>1）检查清除设备内的一切杂物。
2）电缆沟盖板已经完成敷设。
3）测量所有一次设备对地绝缘及相间绝缘良好，所有设备相序正确，交接实验已完成并出具合格报告。
4）检查所有交流二次回路接线正确，电流回路无开路现象，电压回路无短路现象，端子排无松动现象。
5）检查所有送电范围内的断路器已处于冷备用状态，并已断开送电范围内所有设备的接地闸刀。
6）检查送电范围内所有电压互感器一、二次熔丝良好，接触可靠。
7）检查箱变高压侧熔断器安装方向正确，接触可靠。
8）检查送电范围内设备与外界的安全隔离工作，并且有明显标志，以保证人身安全。
9）检查送电范围内各断路器以及接地闸刀电气闭锁送电、各设备的传动及联锁送电、控制系统送电、测控装置送电、各仪表以及信号系统送电均已按程序完成。
10）检查送电范围内的保护运行正常，按继电保护整定单要求检查保护定值，并按要求投入保护。
11）检查送电范围内各测量仪表及信号系统已投入运行。
12）检查送电范围内的相关设备及各屏柜封堵应完整，无遗漏。
13）检查送电范围内的相关消防系统已运行，电池舱灭火器保险栓已拔出。
14）检查送电范围内的远控设备已切至就地位置。
15）检查送电范围内的急停按钮安装接线可靠，触发急停状态。
16）检查送电范围内的备用电源可以正常切换或UPS系统电量充足。
17）准备好各设备的钥匙和专用工具及设备操作工具。
18）准备好所有与本次送电有关的图纸、资料、记录表格等。
19）通讯设备配备齐全。
20）检查中压集电线电气安装、验收合格，电缆头与汇流母排连接完成，相序正确绝缘耐压正常。
21）联系客户进行中压上电</t>
  </si>
  <si>
    <t>SCC柜上电、汇流柜上电</t>
  </si>
  <si>
    <t>将SCC柜上电。
1 闭合汇流柜交流支路开关QS1和QS2；
2 闭合SCC柜交流主回路开关QS3 (交流主回路开关1#)；
3 闭合SCC柜交流供电回路开关QF3(交流供电回路开关1#)；
4 闭合SCC柜空调供电开关Q1 (空调)；
5 闭合SCC柜UPS供电开关Q2 (不间断电源)，将UPS开机；
6 闭合SCC柜温度系统供电开关Q3 (温控)；
7 闭合SCC柜维护插座供电开关Q4 (维护插座)；
8 闭合SCC柜照明供电开关Q7 (照明)；
9 闭合SCC柜ESS排风供电开关Q23~Q24 (储能柜排风1~2#)；
10 闭合SCC柜ESS消防供电开关Q27~Q28 (储能柜消防1~2#)(若无ESS消防主机供电端
口，则跳过此步骤）
将汇流柜上电。
1 闭合汇流柜框架电源开关Q9；
2 闭合汇流柜风扇供电开关Q10；
3 闭合汇流柜开关QF1和QF2。</t>
  </si>
  <si>
    <t>储能电池舱带电</t>
  </si>
  <si>
    <t>储能电池箱辅助供电电路上电。
1闭合供电电源主控制开关QF1
2 闭合电源模块直流供电QS11
3 闭合微断Q1-Q8
储能电池箱主功率电路上电。
将BCP上的负荷开关QS1-QS6转到"ON"</t>
  </si>
  <si>
    <t>交付_PT2.0HX_热调_单元级</t>
  </si>
  <si>
    <t>单元级系统性能调试</t>
  </si>
  <si>
    <t>设置电池舱视频监控IP</t>
  </si>
  <si>
    <t>1.检查BSC的参数是否与配置文件一致。
2.检查BSC的软件版本是否正确
3.检查是否有报告任何故障或警报。系统运行前需清除所有报警或故障。
4.检查CMU软件版本和电池参数配置文件是否正确。</t>
  </si>
  <si>
    <t>1.检查PCS的参数是否与配置文件一致。
2.检查PCS的软件版本是否正确 
3.运行前检查PCS是否存在需要排除的故障</t>
  </si>
  <si>
    <t>1.检查LCS的参数是否与配置文件一致。
2.检查LCS的软件版本是否正确
3.运行前检查LCS是否存在需要排除的故障</t>
  </si>
  <si>
    <t>1.检查LC的参数是否与配置文件一致。
2.检查LC的软件版本是否正确
3.运行前需排除LC上显示的故障。
4.通过上位机观察各个单元子设备参数，如储能变流器、电池。
5.通过上位机发出指令可以实现相关动作，如储能变流器开关机，充放电</t>
  </si>
  <si>
    <t xml:space="preserve">  1.将消防的电磁阀取下固定，防止后续测试时气体喷出；
  2.拔出电磁阀的安全栓
  3.在消防控制系统上启动消防（或者直接同时触发烟感、温感探测器装置），延迟30秒后消防动作，查看撞针是否动作，正常情况下撞针动作；
  4.在消防动作时，观察储能系统是否停机，空调是否停机等，正常情况下停机；
  5.在LC上或者BSC上查看是否有消防动作的信号上传，并查看信号是否上送后台监控系统，正常情况下信号上传；
  6.恢复消防动作，将测试正常的电磁阀再重新安装上；</t>
  </si>
  <si>
    <t>1.通过LC下发开机指令；
2.通过LC检查PCS、电池系统、电池仓辅助系统运行状态；
3.根据要求进行设备带电运行工作，下发以下功率指令按照实际测试结果进行设备评估。如有不合格项，需立即整改或给出相关说明，同时记录相关数据。
3.1 下发0功率待机运行10min
3.2 0.1PN充电或放电指令运行10min
3.3 0.25PN充电或放电指令运行10min
3.4 0.5PN充电或放电指令运行10min
3.5 0.75PN充电或放电指令运行10min
3.6 1.0PN充电或放电指令运行10min
过程中检查PCS的交直流侧电压、电流、功率、IGBT模块温度等运行数据是否正常，检查BMS触摸屏显示的电池电压、电流、功率、温度等运行数据是否正常，检查当电芯温度高于（低于）液冷机组制冷（制热）温度时是否能正常工作。</t>
  </si>
  <si>
    <t>1.通过LC设置SOC上限一级低于当前实际SOC，检查LC是否报SOC上限一级告警。
2.通过LC设置SOC上限二级低于当前实际SOC，检查LC是否报SOC上限二级告警，且不响应充电指令。
3.通过LC设置SOC下限一级高于当前实际SOC，检查LC是否报SOC下限一级告警。
4.通过LC设置SOC下限一级高于当前实际SOC，检查LC是否报SOC下限一级告警，且不响应放电指令。</t>
  </si>
  <si>
    <t>交付_PT2.0HX_热调_站级</t>
  </si>
  <si>
    <t>站级系统性能调试</t>
  </si>
  <si>
    <t>36.1</t>
  </si>
  <si>
    <t>EMS调试</t>
  </si>
  <si>
    <t>通过上位机观察各个LC本地控制器设备参数。
通过上位机发出指令可以实现相关动作，LC控制本地控制器开关机，充放电</t>
  </si>
  <si>
    <t>36.2</t>
  </si>
  <si>
    <t>Insight系统调试</t>
  </si>
  <si>
    <t>导入insight许可；
检查insight软件为最新版本
创建通道
创建电站结构
一键接入功能调试
数据核对
组态配置
参数设置功能配置与验证
能量管理功能验证
北向转发功能配置与验证
备份配置
完成监控通讯的调试，能够从后台监控接收各种命令；
与监控系统监控通信状态检测，并上报各系统运行状态</t>
  </si>
  <si>
    <t>36.3</t>
  </si>
  <si>
    <t>防火墙调试</t>
  </si>
  <si>
    <t>修改IP
导入授权证书
接口配置
对象组配置
安全策略配置
配置文件备份</t>
  </si>
  <si>
    <t>36.4</t>
  </si>
  <si>
    <t>网安调试</t>
  </si>
  <si>
    <r>
      <rPr>
        <sz val="9"/>
        <rFont val="Microsoft YaHei"/>
        <charset val="134"/>
      </rPr>
      <t>1.服务器探针配置</t>
    </r>
    <r>
      <rPr>
        <sz val="10"/>
        <rFont val="宋体"/>
        <charset val="134"/>
      </rPr>
      <t xml:space="preserve">
</t>
    </r>
    <r>
      <rPr>
        <sz val="9"/>
        <rFont val="Microsoft YaHei"/>
        <charset val="134"/>
      </rPr>
      <t>配置本机IP</t>
    </r>
    <r>
      <rPr>
        <sz val="10"/>
        <rFont val="宋体"/>
        <charset val="134"/>
      </rPr>
      <t xml:space="preserve">
</t>
    </r>
    <r>
      <rPr>
        <sz val="9"/>
        <rFont val="Microsoft YaHei"/>
        <charset val="134"/>
      </rPr>
      <t>配置装置IP、服务端口</t>
    </r>
    <r>
      <rPr>
        <sz val="10"/>
        <rFont val="宋体"/>
        <charset val="134"/>
      </rPr>
      <t xml:space="preserve">
</t>
    </r>
    <r>
      <rPr>
        <sz val="9"/>
        <rFont val="Microsoft YaHei"/>
        <charset val="134"/>
      </rPr>
      <t>配置网络白名单</t>
    </r>
    <r>
      <rPr>
        <sz val="10"/>
        <rFont val="宋体"/>
        <charset val="134"/>
      </rPr>
      <t xml:space="preserve">
</t>
    </r>
    <r>
      <rPr>
        <sz val="9"/>
        <rFont val="Microsoft YaHei"/>
        <charset val="134"/>
      </rPr>
      <t>配置端口白名单</t>
    </r>
    <r>
      <rPr>
        <sz val="10"/>
        <rFont val="宋体"/>
        <charset val="134"/>
      </rPr>
      <t xml:space="preserve">
</t>
    </r>
    <r>
      <rPr>
        <sz val="9"/>
        <rFont val="Microsoft YaHei"/>
        <charset val="134"/>
      </rPr>
      <t>配置关键文件\目录</t>
    </r>
    <r>
      <rPr>
        <sz val="10"/>
        <rFont val="宋体"/>
        <charset val="134"/>
      </rPr>
      <t xml:space="preserve">
</t>
    </r>
    <r>
      <rPr>
        <sz val="9"/>
        <rFont val="Microsoft YaHei"/>
        <charset val="134"/>
      </rPr>
      <t>配置端口黑名单、非法外联检测周期、非法端口检测周期、光驱存在检测周期、UDP_PORT、服务白名单（如需要则配置）</t>
    </r>
    <r>
      <rPr>
        <sz val="10"/>
        <rFont val="宋体"/>
        <charset val="134"/>
      </rPr>
      <t xml:space="preserve">
</t>
    </r>
    <r>
      <rPr>
        <sz val="9"/>
        <rFont val="Microsoft YaHei"/>
        <charset val="134"/>
      </rPr>
      <t>网安告警测试</t>
    </r>
    <r>
      <rPr>
        <sz val="9"/>
        <rFont val="宋体"/>
        <charset val="134"/>
      </rPr>
      <t>（</t>
    </r>
    <r>
      <rPr>
        <sz val="9"/>
        <rFont val="Microsoft YaHei"/>
        <charset val="134"/>
      </rPr>
      <t>口令爆破、USB设备接入、关键文件变更、用户权限变更、高危操作非法命令、异常网络访问等）</t>
    </r>
    <r>
      <rPr>
        <sz val="10"/>
        <rFont val="宋体"/>
        <charset val="134"/>
      </rPr>
      <t xml:space="preserve">
</t>
    </r>
    <r>
      <rPr>
        <sz val="9"/>
        <rFont val="Microsoft YaHei"/>
        <charset val="134"/>
      </rPr>
      <t>2.交换机、防火墙接入网监装置</t>
    </r>
  </si>
  <si>
    <t>36.5</t>
  </si>
  <si>
    <t>功率分配测试</t>
  </si>
  <si>
    <t>从EMS下发目标值2MW,查看功率分配情况
当电池子单SOC误差在10%以上时，下发充电目标值2MW,查看功率分配
当电池子单SOC误差在10%以上时，下发放电目标值2MW,查看功率分配
模拟子单元PCS故障，下发目标值1MW，查看功率分配</t>
  </si>
  <si>
    <t>36.6</t>
  </si>
  <si>
    <t>EMS保护功能测试</t>
  </si>
  <si>
    <t>电池系统充电上限测试；PCS充电到阈值时会进入0功率运行
电池系统放电下限测试；PCS放电到阈值时会进入0功率运行
检测消防故障停机保护。</t>
  </si>
  <si>
    <t>36.7</t>
  </si>
  <si>
    <t>整站充放电循环测试</t>
  </si>
  <si>
    <t>1.在储能EMS/协控下发全站额定功率充电指令，査看EMS功率分配功能，査看所有电池的充电动态性能，包括电池电压一致性、温度一致性，温升情况，SOC一致性等。充电过程中观察功率的变化情况，并记录总的充电时间。
2.全站充满电后静置2个小时，下发全站额定功率放电指令，并査看EMS功率分配功能，查看所有电池的放电动态性能，包括电池的电压一致性、温度一致性、温升情况，SOC一致性等。放电过程中观察功率的变化情况，并记录总的放电时间。
3.重复步骤1和2三次，标定全站储能系统的SOC，中间停机间隔2h。
4.全站调试储能系统在额定充放电功率下可以正常有效运行，能准确响应储能主控下发的各个充放电指令，EMS分配给各个PCS的功率指令正确有效；充、放电总时间满足要求，各电池箱、电池模块、电池簇的电压一致性、温度一致性、SOC一致性、温升情况等动态性能指标均正常。</t>
  </si>
  <si>
    <t>运维_PT2.0HX_产品预防性维护</t>
  </si>
  <si>
    <t>电池箱运维</t>
  </si>
  <si>
    <t>年度维护</t>
  </si>
  <si>
    <t>37.1</t>
  </si>
  <si>
    <t>外观及运行环境检查</t>
  </si>
  <si>
    <t>检查顶部及周边是否存在易燃物品，或是否存在其他可能影响系统运行的因素。
检查与地基之间的连接是否牢靠，是否存在生锈现象。
检查环境温度记录，看温度是否在使用范围内。
检查环境湿度记录，看湿度是否在使用范围内。</t>
  </si>
  <si>
    <t>台/年</t>
  </si>
  <si>
    <t>37.2</t>
  </si>
  <si>
    <t>电池柜系统状态及清洁检查</t>
  </si>
  <si>
    <t>查看电池集装箱及内部设备是否损坏或变形。
查看电池集装箱及内部设备是否有异常噪音。
检查电池集装箱内部及外壳温度是否过高。
查看电池集装箱内部湿度及灰度是否在正常范围内。如有必要，需进行清洁。
检查进出风口是否堵塞。
检查屏蔽接地线与绝缘套管及接地铜排是否接触良好。 
.检查警示标签是否清晰可见。必要时请进行更换。
清洁工作结束后，应检查储能集成系统的门锁、铰链等是否可以正常使用，状态是否良好。如必要，应对门锁、铰链等适当润滑。
 状态良好的密封条是有效防止集装箱内部渗水的重要保障，应认真检查，如有损坏，请立即更换。</t>
  </si>
  <si>
    <t>37.3</t>
  </si>
  <si>
    <t>电池柜及环境检查</t>
  </si>
  <si>
    <t>查看户外柜顶部是否存在易燃物体。
检查户外柜与地基钢板的焊接点是否牢固，是否存在锈蚀。
查看户外柜机壳是否存在损坏、掉漆、氧化等情况。
查看柜门门锁等能否灵活开启。
查看密封条等是否固定良好。
检查储能集成系统内部是否有异物、灰尘、污垢及冷凝水。
检查散热器温度以及灰尘。如有必要，可使用真空吸尘器对散热模块等进行清洁。
检查户外柜内部是否有渗水。  
检查户外柜的所有进出线孔是否密封良好。
 检查机体警告标识及其他设备标识，如发现模糊或损坏，请及时更换。
对所有金属元件的锈蚀情况做常规检查
查看户外柜内部是否存在异物掉落等情况。
注意：等待直至确保储能集成系统完全不带电后再进行检查！检查过程中如发现任何不一致现象，请立即整改。</t>
  </si>
  <si>
    <t>37.4</t>
  </si>
  <si>
    <t>线缆连接检查</t>
  </si>
  <si>
    <t>检查线缆排布是否规范，是否存在短路等情况。如有异常，需立即纠正。
检查所有电缆连接是否松动，按照之前所规定的扭矩再紧固。
检查功率电缆、控制电缆、通讯电缆有无损伤，尤其是与金属表面接触的表皮是否有割伤的痕迹。
检查功率电缆接线端子的绝缘包扎带是否存在脱落、破损等。</t>
  </si>
  <si>
    <t>37.5</t>
  </si>
  <si>
    <t>接地和等电位连接检查</t>
  </si>
  <si>
    <t>.检查接地连接是否可靠，接地电阻值不得大于4Ω。
检查储能集成系统内部等电位连接是否正确。</t>
  </si>
  <si>
    <t>37.6</t>
  </si>
  <si>
    <t>散热风机检查</t>
  </si>
  <si>
    <t>查看风机模块的运行状态。
查看风机是否被堵塞。
查看风机在运行中是否存在异常噪音。</t>
  </si>
  <si>
    <t>37.7</t>
  </si>
  <si>
    <t>连接螺钉检查</t>
  </si>
  <si>
    <t>查看户外柜内部是否存在螺钉掉落以及松动等情况</t>
  </si>
  <si>
    <t>37.8</t>
  </si>
  <si>
    <t>系统关键功能检查</t>
  </si>
  <si>
    <t>检查紧急停机按钮以及模拟紧急停机保护；
模拟系统关键故障保护逻辑等；</t>
  </si>
  <si>
    <t>37.9</t>
  </si>
  <si>
    <t>软件维护</t>
  </si>
  <si>
    <t>查看Web的配置参数和保护参数；
导出系统运行数据记录以及日志文件中；</t>
  </si>
  <si>
    <t>37.10</t>
  </si>
  <si>
    <t>内部元器件检查</t>
  </si>
  <si>
    <t>检查电路板以及元器件的清洁。
检查散热风机温度以及灰尘。如有必要，可使用真空吸尘器对散热模块等进行清洁。
如有必要，请清理空气过滤网。
检查防雷器、熔断器等辅助开关以及微开关保证其运转良好。
检查 接触器、断路器等辅助开关以及微开关保证其运转良好。</t>
  </si>
  <si>
    <t>37.11</t>
  </si>
  <si>
    <t>液冷系统维护</t>
  </si>
  <si>
    <t>检查风机扇叶旋转是否正常、扇叶有无破损，如出现无法旋转或扇叶破损，需更换风机。
 检查水泵散热进气孔脏堵面积是否在5%以上，如超出，需用毛刷进行清理。
目测水泵泵体非管路连接处有无明显滴液现象发生冷凝水除外，如有明显滴液需对水泵密封圈进行更换。
查看水系统高低压值，高压2.8bar、低压0.4bar。如果高压高于2.8bar，检查水系统过滤器是否脏污或堵塞。如果低压小于0.4bar，则需要给水系统补水。
查看冷却液是否有明显杂质，或PH值小于7.3。</t>
  </si>
  <si>
    <t>37.12</t>
  </si>
  <si>
    <t>电池簇状态及清洁</t>
  </si>
  <si>
    <t>查看电池簇及内部设备是否损坏或变形。 
查看电池簇及内部设备是否有异常噪音。 
检查电池簇内部及外壳温度是否过高。
查看电池簇内部湿度及灰度是否在正常范围内。如有必要，需进行清洁。  
检查进出风口是否堵塞。
检查屏蔽接地线与绝缘套管及接地铜排是否接触良好。
检查防雷设备及熔丝是否完好、可用。 
检查警示标签是否清晰可见。必要时请进行更换。</t>
  </si>
  <si>
    <t>37.13</t>
  </si>
  <si>
    <t>开关盒和电池模组箱体</t>
  </si>
  <si>
    <t>查看电池簇顶部是否存在易燃物体。
检查电池簇与地基钢板的固定点是否牢固，是否存在锈蚀。
查看箱体是否存在损坏、掉漆、氧化等情况。 
检查电池簇内部是否有异物、灰尘、污垢及冷凝水。</t>
  </si>
  <si>
    <t>37.14</t>
  </si>
  <si>
    <t>接线及线缆排布</t>
  </si>
  <si>
    <t>检查线缆排布是否规范，是否存在短路等情况。如有异常，需立即纠正。 
检查电池簇的所有进出线孔是否密封良好。
检查电池柜内部是否有积水。</t>
  </si>
  <si>
    <t>37.15</t>
  </si>
  <si>
    <t>功能检查</t>
  </si>
  <si>
    <t>检查电池簇运行记录，电流、电压、温度是否在使用范围内。
下发充、放电指令，检查是否正常响应。</t>
  </si>
  <si>
    <t>37.16</t>
  </si>
  <si>
    <t>消防系统检查及维护</t>
  </si>
  <si>
    <t>检查电池舱内可燃气体探测器情况。设备外观是否良好，装配是否松动，有无破损，有无被周边设备挤压。
检查电池舱内烟雾传感器情况。设备外观是否良好，装配是否松动，有无破损，有无被周边设备挤压。设备状态指示灯是否正常。
检查电池舱内温度传感器情况。设备外观是否良好，装配是否松动，有无破损，有无被周边设备挤压。设备状态指示灯是否正常。
检查电池舱内消防进/排风机情况。设备外观是否良好，装配是否松动，有无破损，有无被周边设备挤压。
检查电池舱内洒水喷头情况。设备外观是否良好，装配是否松动，有无破损，有无被周边设备挤压。
检查电池舱内消防管路情况。设备外观是否良好，装配是否松动，有无破损，有无被周边设备挤压。
检查电池舱内消防系统气体灭火控制器情况。 设备外观是否良好，装配是否松动，有无破损，有无被周边设备挤压。
至少每年对消防系统进行联动测试包括消防事故通风系统，以确保消防系统的稳定运行。
检查消防系统相关设备的备电情况，包括备电电压和备电时长等。
注意：
1.至少每年对消防系统进行联动测试，以确保消防系统的稳定运行。如果当地消防职能机构有其他规定，应遵循当地管辖部门法律法规要求。
2.工厂测试时，所用探测器的最新校准时间与测试时间不应超过180天，超过180天应重新校准合格后方可进行测试使用。在项目现场，如果探测器出现故障或者读数不准，应检查探测器与校准时间。所用探测器的最新校准时间与测试时间不应超过360天。超过360天应重新校准合格后方可进行测试使用。</t>
  </si>
  <si>
    <t>PCS运维</t>
  </si>
  <si>
    <t>检查指示灯显示是否正常。</t>
  </si>
  <si>
    <t>保存软件数据</t>
  </si>
  <si>
    <t>读取LC WEB 界面中PCS的数据。
保存运行数据、参数以及日志到相关文件中。
检查各项参数设置。
更新软件。</t>
  </si>
  <si>
    <t>其他设备</t>
  </si>
  <si>
    <t>及时更换损坏的防雷设备及熔丝。</t>
  </si>
  <si>
    <t>屏蔽接地线</t>
  </si>
  <si>
    <t>检查屏蔽接地线与绝缘套管及接地铜排是否接触良好。</t>
  </si>
  <si>
    <t>MVS运维</t>
  </si>
  <si>
    <t>39.1</t>
  </si>
  <si>
    <t>查看LC Web的配置参数和保护参数；
导出系统运行数据记录以及日志文件中；</t>
  </si>
  <si>
    <t>39.2</t>
  </si>
  <si>
    <t>等电位连接</t>
  </si>
  <si>
    <t>注意：测量接地电阻前需关闭中压开关柜。进行此项操作之前必须先获得现场操作人员的许可。 
检查内部设备及集油盘等电位连接是否正确。 
检查接地连接是否正确，接地电阻值是否小于4Ω。</t>
  </si>
  <si>
    <t>39.3</t>
  </si>
  <si>
    <t>目视检查</t>
  </si>
  <si>
    <t>无漏油情况。
 油位检查
运行温度检查 
运行中是否存在异常噪音
外观无锈蚀情况
附件检查包含油位计、温控器、压力释放阀、气体继电器、分接开关等</t>
  </si>
  <si>
    <t>39.4</t>
  </si>
  <si>
    <t>线缆连接</t>
  </si>
  <si>
    <t>供电接线
端子连接
保护设备连接
控制线缆连接
接地连接</t>
  </si>
  <si>
    <t>39.5</t>
  </si>
  <si>
    <t>保护设备</t>
  </si>
  <si>
    <t>油位跳闸信号 保护功能测试
油温跳闸信号  保护功能测试
油压跳闸信号  保护功能测试
瓦斯跳闸信号  保护功能测试</t>
  </si>
  <si>
    <t>39.6</t>
  </si>
  <si>
    <t>油质量检查</t>
  </si>
  <si>
    <t>油化学检测
油气体检测</t>
  </si>
  <si>
    <t>39.7</t>
  </si>
  <si>
    <t>干变外观检查</t>
  </si>
  <si>
    <t>检查气道是否畅通；
电缆和线圈的绝缘是否被破坏；
线圈、绝缘垫块是否移位低压线圈端封结构；
检查线圈、铁芯、封线、分接连接片以及各部位的紧固件，查看有无损伤、变形、松动、变色等现象产生；
检查分接片及高压引线紧固螺栓扭矩是否符合变压器厂家扭矩要求；
清漆或油漆的锈蚀、腐蚀和劣化迹象，并在必要时采取纠正措施；
检查绕组是否有污物，特别是绝缘表面或其可能限制空气流动的地方的积聚物；
观察绝缘表面是否有过热和漏电的迹象，如有伴热或碳化的迹象线圈是否有黑色痕迹；
检查绝缘子和焊接处尤其是端子处是否完好。</t>
  </si>
  <si>
    <t>39.8</t>
  </si>
  <si>
    <t>干变清洁</t>
  </si>
  <si>
    <t>清除变压器绕组和绝缘体上的积尘，包括绕组的顶部和底部末端，以及清洁通风管道冷却气道。</t>
  </si>
  <si>
    <t>39.9</t>
  </si>
  <si>
    <t>干变散热检查</t>
  </si>
  <si>
    <t>检查温控器是否正常运行、温度采样是否正确
检查温度探头是否变形损坏
查看风机模块的运行状态。
查看风机是否被堵塞。
查看风机在运行中是否存在异常噪音。
清除风机内的灰尘和积土注意勿使风机的叶片受伤而变形，并检查风机轴承的润滑脂，必要时进行补充或者更换
户外房过温保护功能测试
检查户外房进出风口防尘棉是否堵塞
干变绕组过温保护功能测试</t>
  </si>
  <si>
    <t>39.10</t>
  </si>
  <si>
    <t>供电接线电气测试</t>
  </si>
  <si>
    <t>绝缘检测</t>
  </si>
  <si>
    <t>39.11</t>
  </si>
  <si>
    <t>运行检测</t>
  </si>
  <si>
    <t>电热点热成像分析 
变比测量检测
绝缘阻值检测相对地
保护性设备接线的绝缘阻值检测
根据电气原理图，检查接地连接是否正确。</t>
  </si>
  <si>
    <t>39.12</t>
  </si>
  <si>
    <t>注意：测量接地电阻前需关闭中压开关柜。进行此项操作之前必须先获得现场操作人员的许可。 
检查内部设备等电位连接是否正确。 
检查接地连接是否正确，接地电阻值是否小于4Ω。</t>
  </si>
  <si>
    <t>39.13</t>
  </si>
  <si>
    <t>检查整体状态及清洁度
验证电压检测器的运行情况。</t>
  </si>
  <si>
    <t>39.14</t>
  </si>
  <si>
    <t>逐个操作开关柜的操纵杆，检查机械联锁装置是否能正常运行。
检查机械联锁装置是否能正常运行。
中压线1开关柜运行检测。
中压线2开关柜运行检测。
中压变压器保护开关柜运行检测。</t>
  </si>
  <si>
    <t>39.15</t>
  </si>
  <si>
    <t>供电接线。
控制接线。
中压线路1开关柜。
中压线路2开关柜。
中压变压器保护开关柜。</t>
  </si>
  <si>
    <t>39.16</t>
  </si>
  <si>
    <t>保护继电器功能检测</t>
  </si>
  <si>
    <t>对保护继电器所配置的保护功能进行检查。</t>
  </si>
  <si>
    <t>PT2.0UD</t>
  </si>
  <si>
    <t>设备到货检查、MSD安装、贴膜移除等</t>
  </si>
  <si>
    <t>开箱验收</t>
  </si>
  <si>
    <t>地基检查</t>
  </si>
  <si>
    <t>交付_PT2.0UD_冷调检查</t>
  </si>
  <si>
    <t>41.1</t>
  </si>
  <si>
    <t>41.2</t>
  </si>
  <si>
    <t>41.3</t>
  </si>
  <si>
    <t>41.4</t>
  </si>
  <si>
    <t>41.5</t>
  </si>
  <si>
    <t>41.6</t>
  </si>
  <si>
    <t>41.7</t>
  </si>
  <si>
    <t>41.8</t>
  </si>
  <si>
    <t>41.9</t>
  </si>
  <si>
    <t>41.10</t>
  </si>
  <si>
    <t>41.11</t>
  </si>
  <si>
    <t>检查通讯电缆、光纤、网线连接良好且各个通讯端口连接各个设备正确；
根据单线图向光纤融接团队交底光纤连接方式；
打光笔排查光纤跳纤无异常；
排查光纤终端盒内连接无异常；
排查RX、TX跳纤连接顺序正确；
检查网线通断及线序</t>
  </si>
  <si>
    <t>41.12</t>
  </si>
  <si>
    <t>41.13</t>
  </si>
  <si>
    <t>41.14</t>
  </si>
  <si>
    <t>交付_PT2.0UD_系统通讯调试_单元级</t>
  </si>
  <si>
    <t>SCC柜上辅助供电
排查交换机光纤端口是否正常开启；
排查光纤交换机软件版本是否为最新版本；
排查交换机上光模块无异常；
两个交换机之间长ping正常；
关闭电源</t>
  </si>
  <si>
    <t>如有</t>
  </si>
  <si>
    <t>交付_PT2.0UD_系统通讯调试_站级</t>
  </si>
  <si>
    <t>43.1</t>
  </si>
  <si>
    <t>43.2</t>
  </si>
  <si>
    <t>43.3</t>
  </si>
  <si>
    <t>43.4</t>
  </si>
  <si>
    <t>43.5</t>
  </si>
  <si>
    <t>43.6</t>
  </si>
  <si>
    <t>43.7</t>
  </si>
  <si>
    <t>交付_PT2.0UD_系统上电</t>
  </si>
  <si>
    <t>交付_PT2.0UD_热调_单元级</t>
  </si>
  <si>
    <t>45.1</t>
  </si>
  <si>
    <t>视频监控通讯调试</t>
  </si>
  <si>
    <t>45.2</t>
  </si>
  <si>
    <t>电池管理系统检查</t>
  </si>
  <si>
    <t>45.3</t>
  </si>
  <si>
    <t>PCS检查</t>
  </si>
  <si>
    <t>45.4</t>
  </si>
  <si>
    <t>液冷机组检查</t>
  </si>
  <si>
    <t>45.5</t>
  </si>
  <si>
    <t>LC通讯检查</t>
  </si>
  <si>
    <t>45.6</t>
  </si>
  <si>
    <t>消防系统联动测试</t>
  </si>
  <si>
    <t>45.7</t>
  </si>
  <si>
    <t>单元充放测试</t>
  </si>
  <si>
    <t>45.8</t>
  </si>
  <si>
    <t>单元保护功能测试</t>
  </si>
  <si>
    <t>交付_PT2.0UD_热调_站级</t>
  </si>
  <si>
    <t>46.1</t>
  </si>
  <si>
    <t>46.2</t>
  </si>
  <si>
    <t>46.3</t>
  </si>
  <si>
    <t>46.4</t>
  </si>
  <si>
    <r>
      <rPr>
        <sz val="10"/>
        <rFont val="Microsoft YaHei"/>
        <charset val="134"/>
      </rPr>
      <t>1.服务器探针配置</t>
    </r>
    <r>
      <rPr>
        <sz val="10"/>
        <rFont val="宋体"/>
        <charset val="134"/>
      </rPr>
      <t xml:space="preserve">
</t>
    </r>
    <r>
      <rPr>
        <sz val="10"/>
        <rFont val="Microsoft YaHei"/>
        <charset val="134"/>
      </rPr>
      <t>配置本机IP</t>
    </r>
    <r>
      <rPr>
        <sz val="10"/>
        <rFont val="宋体"/>
        <charset val="134"/>
      </rPr>
      <t xml:space="preserve">
</t>
    </r>
    <r>
      <rPr>
        <sz val="10"/>
        <rFont val="Microsoft YaHei"/>
        <charset val="134"/>
      </rPr>
      <t>配置装置IP、服务端口</t>
    </r>
    <r>
      <rPr>
        <sz val="10"/>
        <rFont val="宋体"/>
        <charset val="134"/>
      </rPr>
      <t xml:space="preserve">
</t>
    </r>
    <r>
      <rPr>
        <sz val="10"/>
        <rFont val="Microsoft YaHei"/>
        <charset val="134"/>
      </rPr>
      <t>配置网络白名单</t>
    </r>
    <r>
      <rPr>
        <sz val="10"/>
        <rFont val="宋体"/>
        <charset val="134"/>
      </rPr>
      <t xml:space="preserve">
</t>
    </r>
    <r>
      <rPr>
        <sz val="10"/>
        <rFont val="Microsoft YaHei"/>
        <charset val="134"/>
      </rPr>
      <t>配置端口白名单</t>
    </r>
    <r>
      <rPr>
        <sz val="10"/>
        <rFont val="宋体"/>
        <charset val="134"/>
      </rPr>
      <t xml:space="preserve">
</t>
    </r>
    <r>
      <rPr>
        <sz val="10"/>
        <rFont val="Microsoft YaHei"/>
        <charset val="134"/>
      </rPr>
      <t>配置关键文件\目录</t>
    </r>
    <r>
      <rPr>
        <sz val="10"/>
        <rFont val="宋体"/>
        <charset val="134"/>
      </rPr>
      <t xml:space="preserve">
</t>
    </r>
    <r>
      <rPr>
        <sz val="10"/>
        <rFont val="Microsoft YaHei"/>
        <charset val="134"/>
      </rPr>
      <t>配置端口黑名单、非法外联检测周期、非法端口检测周期、光驱存在检测周期、UDP_PORT、服务白名单（如需要则配置）</t>
    </r>
    <r>
      <rPr>
        <sz val="10"/>
        <rFont val="宋体"/>
        <charset val="134"/>
      </rPr>
      <t xml:space="preserve">
</t>
    </r>
    <r>
      <rPr>
        <sz val="10"/>
        <rFont val="Microsoft YaHei"/>
        <charset val="134"/>
      </rPr>
      <t>网安告警测试</t>
    </r>
    <r>
      <rPr>
        <sz val="10"/>
        <rFont val="宋体"/>
        <charset val="134"/>
      </rPr>
      <t>（</t>
    </r>
    <r>
      <rPr>
        <sz val="10"/>
        <rFont val="Microsoft YaHei"/>
        <charset val="134"/>
      </rPr>
      <t>口令爆破、USB设备接入、关键文件变更、用户权限变更、高危操作非法命令、异常网络访问等）</t>
    </r>
    <r>
      <rPr>
        <sz val="10"/>
        <rFont val="宋体"/>
        <charset val="134"/>
      </rPr>
      <t xml:space="preserve">
</t>
    </r>
    <r>
      <rPr>
        <sz val="10"/>
        <rFont val="Microsoft YaHei"/>
        <charset val="134"/>
      </rPr>
      <t>2.交换机、防火墙接入网监装置</t>
    </r>
  </si>
  <si>
    <t>46.5</t>
  </si>
  <si>
    <t>46.6</t>
  </si>
  <si>
    <t>46.7</t>
  </si>
  <si>
    <t>PT2.0拓展版</t>
  </si>
  <si>
    <t>交付_PT2.0拓展版_设备到货检查及附件安装</t>
  </si>
  <si>
    <t>交付_PT2.0拓展版_PACK安装</t>
  </si>
  <si>
    <t>现场PACK安装</t>
  </si>
  <si>
    <t>PCS</t>
  </si>
  <si>
    <t>仅限拆PACK运输场景</t>
  </si>
  <si>
    <t>液冷管道固定件、附件固定件拆除</t>
  </si>
  <si>
    <t>液冷管道固定件拆除后需将三级液冷管道置于导轨侧边保证不干涉PACK推入电池舱导轨；
菊花链线束端子需置于轨道侧边保证不干涉PACK推入电池舱轨道；
动力线缆需置于轨道侧边保证不干涉PACK推入电池舱轨道；
每个电池舱需拆除24个液冷管道固定件、6块托盘12箱附件（视现场实际情况而定）</t>
  </si>
  <si>
    <t>pcs</t>
  </si>
  <si>
    <t>单pack</t>
  </si>
  <si>
    <t>维护工装调整</t>
  </si>
  <si>
    <t>拆除维护工装的外包装（首次使用）。
叉车配合维护工装，调整维护工装与电池舱内PACK导轨水平。
（每列Pack安装完后需重新调整工装位置）</t>
  </si>
  <si>
    <t>每台电池舱最多调整5次</t>
  </si>
  <si>
    <t>Pack包装拆除</t>
  </si>
  <si>
    <t>拆除PACK打包带。
拆除PACK防水塑料薄膜。
拆除PACK纸质包装盒。（注意：防止PACK四周木质框架掉落伤人）
拆除PACK塑料包装袋。
拆除PACK四周木质框架。
拆除固定PACK于木制托盘的10颗M10螺栓。</t>
  </si>
  <si>
    <t>每台电池舱72块Pack，按实际PACK安装数量</t>
  </si>
  <si>
    <t>Pack转运</t>
  </si>
  <si>
    <t>Pack通过转运工装从地面存储位置转运至维护工装上</t>
  </si>
  <si>
    <t>Pack安装</t>
  </si>
  <si>
    <t>使用维护工装安装Pack至电池舱内</t>
  </si>
  <si>
    <t>Pack固定及附件安装</t>
  </si>
  <si>
    <t>Pack角件固定
液冷管道安装
动力线缆安装
簇间熔丝安装
菊花链线束安装</t>
  </si>
  <si>
    <t>Pack检查</t>
  </si>
  <si>
    <t>检查电池舱箱体有无漆面破损。
检查PACK有无漆面破损。
检查PACK角件固定螺栓扭矩是否在37±3N.m范围内。
检查PACK水嘴是否有漏液迹象。
检查PACK上动力线缆连接是否有错误。
检查通讯线缆连接是否有错误。
检查电芯电压是否正常。
运行液冷机组，检查是否有漏液迹象</t>
  </si>
  <si>
    <t>整舱</t>
  </si>
  <si>
    <t>交付_PT2.0拓展版_冷调检查</t>
  </si>
  <si>
    <t>49.1</t>
  </si>
  <si>
    <t>49.2</t>
  </si>
  <si>
    <t>49.3</t>
  </si>
  <si>
    <t>49.4</t>
  </si>
  <si>
    <t>49.5</t>
  </si>
  <si>
    <t>49.6</t>
  </si>
  <si>
    <t>49.7</t>
  </si>
  <si>
    <t>49.8</t>
  </si>
  <si>
    <t>49.9</t>
  </si>
  <si>
    <t>49.10</t>
  </si>
  <si>
    <t>49.11</t>
  </si>
  <si>
    <t>49.12</t>
  </si>
  <si>
    <t>49.13</t>
  </si>
  <si>
    <t>49.14</t>
  </si>
  <si>
    <t>交付_PT2.0拓展版_系统通讯调试_单元级</t>
  </si>
  <si>
    <t>50.1</t>
  </si>
  <si>
    <t>50.2</t>
  </si>
  <si>
    <t>50.3</t>
  </si>
  <si>
    <t>50.4</t>
  </si>
  <si>
    <t>50.5</t>
  </si>
  <si>
    <t>50.6</t>
  </si>
  <si>
    <t>50.7</t>
  </si>
  <si>
    <t>50.8</t>
  </si>
  <si>
    <t>交付_PT2.0拓展版_系统通讯调试_站级</t>
  </si>
  <si>
    <t>51.1</t>
  </si>
  <si>
    <t>51.2</t>
  </si>
  <si>
    <t>51.3</t>
  </si>
  <si>
    <t>51.4</t>
  </si>
  <si>
    <t>51.5</t>
  </si>
  <si>
    <t>51.6</t>
  </si>
  <si>
    <t>51.7</t>
  </si>
  <si>
    <t>51.8</t>
  </si>
  <si>
    <t>交付_PT2.0拓展版_系统上电</t>
  </si>
  <si>
    <t>交付_PT2.0拓展版_热调_单元级</t>
  </si>
  <si>
    <t>单元级性能调试</t>
  </si>
  <si>
    <t>53.1</t>
  </si>
  <si>
    <t>53.2</t>
  </si>
  <si>
    <t>53.3</t>
  </si>
  <si>
    <t>53.4</t>
  </si>
  <si>
    <t>运行前检查LCS是否存在需要排除的故障</t>
  </si>
  <si>
    <t>53.5</t>
  </si>
  <si>
    <t>53.6</t>
  </si>
  <si>
    <t>53.7</t>
  </si>
  <si>
    <t>53.8</t>
  </si>
  <si>
    <t>交付_PT2.0拓展版_热调_站级</t>
  </si>
  <si>
    <t>系统性能调试</t>
  </si>
  <si>
    <t>54.1</t>
  </si>
  <si>
    <t>54.2</t>
  </si>
  <si>
    <t>54.3</t>
  </si>
  <si>
    <t>54.4</t>
  </si>
  <si>
    <t>54.5</t>
  </si>
  <si>
    <t>54.6</t>
  </si>
  <si>
    <t>54.7</t>
  </si>
  <si>
    <t>PT2.0UD/PT2.0拓展版</t>
  </si>
  <si>
    <t>运维_PT2.0UD/PT2.0拓展版_产品预防性维护</t>
  </si>
  <si>
    <t>55.1</t>
  </si>
  <si>
    <t>55.2</t>
  </si>
  <si>
    <t>55.3</t>
  </si>
  <si>
    <t>55.4</t>
  </si>
  <si>
    <t>55.5</t>
  </si>
  <si>
    <t>55.6</t>
  </si>
  <si>
    <t>55.7</t>
  </si>
  <si>
    <t>55.8</t>
  </si>
  <si>
    <t>55.9</t>
  </si>
  <si>
    <t>55.10</t>
  </si>
  <si>
    <t>55.11</t>
  </si>
  <si>
    <t>55.12</t>
  </si>
  <si>
    <t>55.13</t>
  </si>
  <si>
    <t>55.14</t>
  </si>
  <si>
    <t>55.15</t>
  </si>
  <si>
    <t>55.16</t>
  </si>
  <si>
    <t>56.1</t>
  </si>
  <si>
    <t>检查顶部及周边是否存在易燃物品，或是否存在其他可能影响系统运行的因素。
 检查与地基之间的连接是否牢靠，是否存在生锈现象。</t>
  </si>
  <si>
    <t>56.2</t>
  </si>
  <si>
    <t>系统状态及清洁</t>
  </si>
  <si>
    <t>查看内部设备是否损坏或变形。
查看内部设备是否有异常噪音。
检查内部及外壳温度是否过高。
查看内部湿度及灰度是否在正常范围内。如有必要，需进行清洁。</t>
  </si>
  <si>
    <t>56.3</t>
  </si>
  <si>
    <t>读取WEB Server中的数据。
保存运行数据、参数以及日志到相关文件中。
检查各项参数设置。
更新软件。</t>
  </si>
  <si>
    <t>56.4</t>
  </si>
  <si>
    <t>系统运行状态及环境</t>
  </si>
  <si>
    <t>观察PCS是否有损坏或变形。
听PCS运行是否有异常声音。
在系统运行时，检查各项变量。
检查主要器件是否正常。
检查PCS外壳发热是否正常，使用热成像仪等监测系统发热情况。
检查PCS周围环境的湿度与灰尘。</t>
  </si>
  <si>
    <t>56.5</t>
  </si>
  <si>
    <t>模块清洁</t>
  </si>
  <si>
    <t>检查电路板以及元器件的清洁。
 检查散热器温度以及灰尘。如有必要，使用真空吸尘器对模块进行清洁。</t>
  </si>
  <si>
    <t>56.6</t>
  </si>
  <si>
    <t>警示标签</t>
  </si>
  <si>
    <t>检查警示标签是否清晰可见。必要时请进行更换。</t>
  </si>
  <si>
    <t>56.7</t>
  </si>
  <si>
    <t>检查功率电缆连接是否松动，按照之前所规定的扭矩再紧固。
检查功率电缆、控制电缆有无损伤，尤其是与金属表面接触的表皮是否有割伤的痕迹。
检查功率电缆接线端子的绝缘包扎带是否存在脱落。</t>
  </si>
  <si>
    <t>56.8</t>
  </si>
  <si>
    <t>端子、排线连接</t>
  </si>
  <si>
    <t>检查控制端子螺丝是否松动，如有松动，用螺丝刀拧紧。
 检查主回路端子是否有接触不良的情况，螺钉位置是否有过热痕迹。
检查接线铜排或者螺钉是否存在颜色改变。
目测检查设备终端等连接以及排线分布。</t>
  </si>
  <si>
    <t>56.9</t>
  </si>
  <si>
    <t>器件维护</t>
  </si>
  <si>
    <t>对所有金属元件的锈蚀情况做常规检查
 接触器年检（辅助开关以及微开关）保证其运转良好。
检查运行参数（特别是电压以及绝缘等）。</t>
  </si>
  <si>
    <t>56.10</t>
  </si>
  <si>
    <t>断路器维护</t>
  </si>
  <si>
    <t>对所有金属元件的锈蚀情况做常规检查。
 接触器年检（辅助开关以及微开关）保证其机械运转良好。
检查运行参数（特别是电压以及绝缘等）。</t>
  </si>
  <si>
    <t>56.11</t>
  </si>
  <si>
    <t>安全功能</t>
  </si>
  <si>
    <t>模拟停机，并检查停机信号通讯。
检查机体警告标识及其他设备标识，如发现模糊或损坏，请及时更换。</t>
  </si>
  <si>
    <t>56.12</t>
  </si>
  <si>
    <t>优化软件。
检查各项参数设置。</t>
  </si>
  <si>
    <t>56.13</t>
  </si>
  <si>
    <t>螺钉</t>
  </si>
  <si>
    <t>检查设备上所有固定螺钉。</t>
  </si>
  <si>
    <t>56.14</t>
  </si>
  <si>
    <t>消防设备</t>
  </si>
  <si>
    <t>检查消防设备各项功能是否正常。</t>
  </si>
  <si>
    <t>56.15</t>
  </si>
  <si>
    <t>56.16</t>
  </si>
  <si>
    <t>系统清洁</t>
  </si>
  <si>
    <t>检查散热器温度以及灰尘。</t>
  </si>
  <si>
    <t>56.17</t>
  </si>
  <si>
    <t>57.1</t>
  </si>
  <si>
    <t>57.2</t>
  </si>
  <si>
    <t>57.3</t>
  </si>
  <si>
    <t>57.4</t>
  </si>
  <si>
    <t>57.5</t>
  </si>
  <si>
    <t>57.6</t>
  </si>
  <si>
    <t>57.7</t>
  </si>
  <si>
    <t>57.8</t>
  </si>
  <si>
    <t>57.9</t>
  </si>
  <si>
    <t>57.10</t>
  </si>
  <si>
    <t>57.11</t>
  </si>
  <si>
    <t>57.12</t>
  </si>
  <si>
    <t>57.13</t>
  </si>
  <si>
    <t>57.14</t>
  </si>
  <si>
    <t>57.15</t>
  </si>
  <si>
    <t>57.16</t>
  </si>
  <si>
    <t>储能系统</t>
  </si>
  <si>
    <t>运维_储能系统_一级故障恢复</t>
  </si>
  <si>
    <t>运维_储能系统_二级故障恢复</t>
  </si>
  <si>
    <t>运维_储能系统_三级故障恢复</t>
  </si>
  <si>
    <t>运维_储能系统_四级故障恢复</t>
  </si>
  <si>
    <t>26年储能系统整改</t>
  </si>
  <si>
    <t>BG-032133 液冷PACK更换NTC(益阳南县项目整站更换)</t>
  </si>
  <si>
    <t>BG-037533风冷电池舱菊花链安装BD4135通讯线</t>
  </si>
  <si>
    <t>BG-040542 ST200CS机柜凝露问题整改</t>
  </si>
  <si>
    <t>BG-041109 除湿机增加通讯线整改</t>
  </si>
  <si>
    <t>BG-041190 PT2.0 项目加装除湿机整改</t>
  </si>
  <si>
    <t>TCN-0000187 防雨弯头增补项目整改+南网云南文山丘北构网项目增加防凝露棉</t>
  </si>
  <si>
    <t>TCN-0000250 国内P2P3机型模组三相温度不均现场整改（硬件整改）</t>
  </si>
  <si>
    <t>TCN-0000253 SC5000UD-P2&amp;P3-MV&amp;1.0UD过温现场整改（P2&amp;P3-MV&amp;1.0UD过温硬件整改）</t>
  </si>
  <si>
    <t>TCN-0000270 EBM EA80（2504批次）过热告警异常整改</t>
  </si>
  <si>
    <t>TCN-0000282 施耐德UPS光耦问题更换UPS整改</t>
  </si>
  <si>
    <t>TCN-0000285 江西余干黄金埠国能24MWh储能项目NTC更换</t>
  </si>
  <si>
    <t>TCN-0000289 国内ST840电源盒高正端子更换为菲尼克斯端子</t>
  </si>
  <si>
    <t>ECN-0004161 PT2.0（国内）户外柜液冷机组整改</t>
  </si>
  <si>
    <t>TCN-0000295 PT1.0&amp;PT2.0项目二轮除湿机整改</t>
  </si>
  <si>
    <t>PACK上盖更换</t>
  </si>
  <si>
    <t>PT2.0整仓替换</t>
  </si>
  <si>
    <t>按每台电池仓更换作业费用50万计（包含工时、交通、设备租赁、辅料，不包含电池舱、电缆等机物料费用）</t>
  </si>
  <si>
    <t>西北地区UD系列一体机防风沙整改</t>
  </si>
  <si>
    <t>风冷菊花链线束安装整改</t>
  </si>
  <si>
    <t>P3机型AVC扰流风扇D0ES0029更换为EBM ES000268整改</t>
  </si>
  <si>
    <t>储能交付增加安全员</t>
  </si>
  <si>
    <t>水上场景工时优化</t>
  </si>
  <si>
    <t>附件1：按故障恢复时长分类故障等级清单</t>
  </si>
  <si>
    <t>储能系统故障等级</t>
  </si>
  <si>
    <t>充电桩故障等级</t>
  </si>
  <si>
    <t>故障等级</t>
  </si>
  <si>
    <t>SG3125</t>
  </si>
  <si>
    <t>SG320</t>
  </si>
  <si>
    <t>故障类别</t>
  </si>
  <si>
    <t>故障名称</t>
  </si>
  <si>
    <t>故障现象（名称或代码）</t>
  </si>
  <si>
    <t>故障类型（器件级）</t>
  </si>
  <si>
    <t>一级故障</t>
  </si>
  <si>
    <t>模组故障处理</t>
  </si>
  <si>
    <t>LC告警故障</t>
  </si>
  <si>
    <t>PCS故障</t>
  </si>
  <si>
    <t>四级故障</t>
  </si>
  <si>
    <t>电表读数异常故障
Abnormal Meter Reading Fault</t>
  </si>
  <si>
    <t>主控软件异常
Master Control Software Anomaly</t>
  </si>
  <si>
    <t>交流不平衡故障处理</t>
  </si>
  <si>
    <t>直流开关异常处理</t>
  </si>
  <si>
    <t>LC-PCS通信故障</t>
  </si>
  <si>
    <t>主从机通信故障
Master-Slave Communication Fault</t>
  </si>
  <si>
    <t>硬件故障处理</t>
  </si>
  <si>
    <t>中点电位偏移处理</t>
  </si>
  <si>
    <t>BSC故障</t>
  </si>
  <si>
    <t>离线故障
Offline Fault</t>
  </si>
  <si>
    <t>设备离线
 Device Offline</t>
  </si>
  <si>
    <t>软启动故障处理</t>
  </si>
  <si>
    <t>风扇故障处理</t>
  </si>
  <si>
    <t>LC-BSC通信故障</t>
  </si>
  <si>
    <t>计费异常
 Billing Anomaly</t>
  </si>
  <si>
    <t>主控软件故障
Master Control Software Fault</t>
  </si>
  <si>
    <t>控制电源异常故障处理</t>
  </si>
  <si>
    <t>交流开关断开处理</t>
  </si>
  <si>
    <t>上位机通信故障</t>
  </si>
  <si>
    <t>驱动板故障处理</t>
  </si>
  <si>
    <t>采样故障处理</t>
  </si>
  <si>
    <t>节点故障</t>
  </si>
  <si>
    <t>分控软件异常
 Slave Control Software Anomaly</t>
  </si>
  <si>
    <t>分控软件故障
Slave Control Software Fault</t>
  </si>
  <si>
    <t>电流不平衡3故障处理</t>
  </si>
  <si>
    <t>电流不平衡3</t>
  </si>
  <si>
    <t>系统未就绪故障</t>
  </si>
  <si>
    <t>功率单元软件异常
 Power Unit Software Anomaly</t>
  </si>
  <si>
    <t>功率单元软件故障
Power Unit Software Fault</t>
  </si>
  <si>
    <t>交流开关断开故障处理</t>
  </si>
  <si>
    <t>紧急停机</t>
  </si>
  <si>
    <t>灯版软件异常
Light Panel Software Anomal</t>
  </si>
  <si>
    <t>灯板软件故障
 Light Panel Software Fault</t>
  </si>
  <si>
    <t>二级故障</t>
  </si>
  <si>
    <t>中点电位偏移故障处理</t>
  </si>
  <si>
    <t>孤岛保护处理</t>
  </si>
  <si>
    <t>模拟采样故障</t>
  </si>
  <si>
    <t>平台&amp;小程序异常
Platform &amp; Mini Program Anomaly</t>
  </si>
  <si>
    <t>平台&amp;小程序故障
 Light Panel Software Fault</t>
  </si>
  <si>
    <t>直流传感器故障处理</t>
  </si>
  <si>
    <t>逆变柜过温处理</t>
  </si>
  <si>
    <t>动力线异常故障</t>
  </si>
  <si>
    <t>屏幕程序异常
Screen Program Anomaly</t>
  </si>
  <si>
    <t>屏幕程序故障
Screen Program Fault</t>
  </si>
  <si>
    <t>直流开关故障处理</t>
  </si>
  <si>
    <t>交流柜过温处理</t>
  </si>
  <si>
    <t>PCS单元故障</t>
  </si>
  <si>
    <t>TCU软件问题（优利特）
TCU Software Issue (Unitech)</t>
  </si>
  <si>
    <t>优利特TCU 软件故障
Screen Program Fault</t>
  </si>
  <si>
    <t>模块过热故障处理</t>
  </si>
  <si>
    <t>PV极性反接处理</t>
  </si>
  <si>
    <t>PCS告警</t>
  </si>
  <si>
    <t>充电主控模块软件问题
Charging Master Control Module Software  Issue</t>
  </si>
  <si>
    <t>充电主控软件模块
Charging Master Control Software Module</t>
  </si>
  <si>
    <t>PMD变压器过热保护故障处理</t>
  </si>
  <si>
    <t>并机通讯故障处理</t>
  </si>
  <si>
    <t>LC-PCS通信告警</t>
  </si>
  <si>
    <t>功率控制模块软件问题
Power Control Module Software Issue</t>
  </si>
  <si>
    <t>功率控制模块软件故障
Power Control Module Software Fault</t>
  </si>
  <si>
    <t>本地紧急停机故障处理</t>
  </si>
  <si>
    <t>电网电压不平衡处理</t>
  </si>
  <si>
    <t>BSC单元故障</t>
  </si>
  <si>
    <t>TCU软件问题
TCU Software Issue</t>
  </si>
  <si>
    <t>TCU软件故障
TCU Software Fault</t>
  </si>
  <si>
    <t>GFDI保护处理</t>
  </si>
  <si>
    <t>BSC单元告警</t>
  </si>
  <si>
    <t>HCU软件问题
HCU Software Issue</t>
  </si>
  <si>
    <t>HCU软件故障
HCU Software Fault</t>
  </si>
  <si>
    <t>LC-BSC通信告警</t>
  </si>
  <si>
    <t>RCU软件问题
RCU Software Issue</t>
  </si>
  <si>
    <t>RCU软件故障
RCU Software Fault</t>
  </si>
  <si>
    <t>直流防雷器故障处理</t>
  </si>
  <si>
    <t>节点告警</t>
  </si>
  <si>
    <t>PCU软件问题
PCU Software Issue</t>
  </si>
  <si>
    <t>PCU软件故障
PCU Software Fault</t>
  </si>
  <si>
    <t>模块过温处理</t>
  </si>
  <si>
    <t>SOC上限1级告警</t>
  </si>
  <si>
    <t>CCU软件问题
CCU Software Issue</t>
  </si>
  <si>
    <t>CUU软件故障
CUU Software Fault</t>
  </si>
  <si>
    <t>绝缘阻抗低处理</t>
  </si>
  <si>
    <t>SOC上限2级告警</t>
  </si>
  <si>
    <t>PFC软件异常
PFC Software Anomaly</t>
  </si>
  <si>
    <t>PFC软件故障
CUU Software Fault</t>
  </si>
  <si>
    <t>交流电流不平衡处理</t>
  </si>
  <si>
    <t>SOC下限1级告警</t>
  </si>
  <si>
    <t>LLC软件异常
LLC Software Anomaly</t>
  </si>
  <si>
    <t>LLC软件故障
LLC Software Fault</t>
  </si>
  <si>
    <t>交流防雷器故障处理</t>
  </si>
  <si>
    <t>SOC下限2级告警</t>
  </si>
  <si>
    <t>系统宕机
 System Crash</t>
  </si>
  <si>
    <t>程序死机
Program Crash</t>
  </si>
  <si>
    <t>烟感保护处理</t>
  </si>
  <si>
    <t>零功率运行超时告警</t>
  </si>
  <si>
    <t>PMD变压器过热保护</t>
  </si>
  <si>
    <t>辅助子设备告警</t>
  </si>
  <si>
    <t>控制电源异常</t>
  </si>
  <si>
    <t>空调通信告警</t>
  </si>
  <si>
    <t>驱动板故障</t>
  </si>
  <si>
    <t>空调告警</t>
  </si>
  <si>
    <t>直流开关故障</t>
  </si>
  <si>
    <t>电表通信告警</t>
  </si>
  <si>
    <t>节点扩展板通信告警</t>
  </si>
  <si>
    <t>交流绝缘监测板通信告警</t>
  </si>
  <si>
    <t>三级故障</t>
  </si>
  <si>
    <t>风扇异常/风扇故障处理</t>
  </si>
  <si>
    <t>直流欠压处理</t>
  </si>
  <si>
    <t>交流绝缘监测板告警</t>
  </si>
  <si>
    <t>直流柜过温处理</t>
  </si>
  <si>
    <t>交流绝缘监测板故障</t>
  </si>
  <si>
    <t>直流欠压故障处理</t>
  </si>
  <si>
    <t>交流过流处理</t>
  </si>
  <si>
    <t>变压器温控通信告警</t>
  </si>
  <si>
    <t>温度故障/温度异常报警) 故障处理</t>
  </si>
  <si>
    <t>直流传感器异常处理</t>
  </si>
  <si>
    <t>BSC告警故障</t>
  </si>
  <si>
    <t>液冷机组故障</t>
  </si>
  <si>
    <t>电抗器过温故障处理</t>
  </si>
  <si>
    <t>绝缘阻抗处理</t>
  </si>
  <si>
    <t>多通阀故障</t>
  </si>
  <si>
    <t>并行通信故障处理</t>
  </si>
  <si>
    <t>电抗器过温处理</t>
  </si>
  <si>
    <t>防亏电告警</t>
  </si>
  <si>
    <t>漏电流保护故障处理</t>
  </si>
  <si>
    <t>消防系统火警</t>
  </si>
  <si>
    <t>充电主控模块软件问题
Charging Master Control Module Software Issue</t>
  </si>
  <si>
    <t>PV反极性故障处理</t>
  </si>
  <si>
    <t>直流支路反向过电流报警</t>
  </si>
  <si>
    <t>消防系统故障</t>
  </si>
  <si>
    <t>逆变柜过温故障处理</t>
  </si>
  <si>
    <t>温度故障</t>
  </si>
  <si>
    <t>模块温度过高处理</t>
  </si>
  <si>
    <t>可燃气体报警控制器告警</t>
  </si>
  <si>
    <t>交流柜过热故障处理</t>
  </si>
  <si>
    <t>本地急停</t>
  </si>
  <si>
    <t>可燃气体浓度高告警</t>
  </si>
  <si>
    <t>漏电流保护</t>
  </si>
  <si>
    <t>电网过压处理</t>
  </si>
  <si>
    <t>可燃气体检测设备故障</t>
  </si>
  <si>
    <t>直流柜过热故障处理</t>
  </si>
  <si>
    <t>防PID电源异常</t>
  </si>
  <si>
    <t>电网暂态过压处理</t>
  </si>
  <si>
    <t>可燃气体报警控制器故障</t>
  </si>
  <si>
    <t>绝缘阻抗低故障处理</t>
  </si>
  <si>
    <t>铜排温度异常</t>
  </si>
  <si>
    <t>电网欠压处理</t>
  </si>
  <si>
    <t>CMU全部故障</t>
  </si>
  <si>
    <t>绝缘阻抗故障处理</t>
  </si>
  <si>
    <t>支路反向过流故障</t>
  </si>
  <si>
    <t>电网低压处理</t>
  </si>
  <si>
    <t>Rack间环流越限一级故障</t>
  </si>
  <si>
    <t>PFC软件异常
PFC Software Issue</t>
  </si>
  <si>
    <t>IO-DSP通信异常处理</t>
  </si>
  <si>
    <t>直流支路正向过流</t>
  </si>
  <si>
    <t>直流分量超标处理</t>
  </si>
  <si>
    <t>CMU告警</t>
  </si>
  <si>
    <t>LLC软件异常
LLC Software IssueV</t>
  </si>
  <si>
    <t>紧急停机保护故障处理</t>
  </si>
  <si>
    <t>Rack间环流越限二级告警</t>
  </si>
  <si>
    <t>调试参数配置错误
Debug Parameter Configuration Error</t>
  </si>
  <si>
    <t>通讯参数设置错误
Communication Parameter Setting Error</t>
  </si>
  <si>
    <t>支路熔丝异常故障排除处理</t>
  </si>
  <si>
    <t>孤岛处理</t>
  </si>
  <si>
    <t>Rack间环流越限三级告警</t>
  </si>
  <si>
    <t>二维码设置错误
QR Code Setting Error</t>
  </si>
  <si>
    <t>支路反向过流故障处理</t>
  </si>
  <si>
    <t>母线电压不平衡保护处理</t>
  </si>
  <si>
    <t>冷凝侧水泵过载</t>
  </si>
  <si>
    <t>数采端设置错误
QR Code Setting Error</t>
  </si>
  <si>
    <t>直流支路正向过电流故障处理</t>
  </si>
  <si>
    <t>继电器故障处理</t>
  </si>
  <si>
    <t>电源故障</t>
  </si>
  <si>
    <t>启动充电失败
Charging Start Failure</t>
  </si>
  <si>
    <t>触摸屏幕功能选择错误
Touch Screen Function Selection Error</t>
  </si>
  <si>
    <t>接地故障处理</t>
  </si>
  <si>
    <t>漏电流采样通道故障处理</t>
  </si>
  <si>
    <t>蒸发侧温度传感器故障</t>
  </si>
  <si>
    <t>参数配置错误
 Parameter Configuration Error</t>
  </si>
  <si>
    <t>交流绝缘板通信异常故障处理</t>
  </si>
  <si>
    <t>环境温度低处理</t>
  </si>
  <si>
    <t>蒸发侧水泵故障</t>
  </si>
  <si>
    <t>用户操作不当
Improper User Operation</t>
  </si>
  <si>
    <t>功能选择错误
Function Selection Error</t>
  </si>
  <si>
    <t>温湿度板通信异常故障处理</t>
  </si>
  <si>
    <t>地线故障处理</t>
  </si>
  <si>
    <t>冷凝侧水泵故障</t>
  </si>
  <si>
    <t>生锈腐蚀
Rust and Corrosion</t>
  </si>
  <si>
    <t>机器内部生锈
Internal Machine Rust</t>
  </si>
  <si>
    <t>IO-ISO通讯故障处理</t>
  </si>
  <si>
    <t>组串反接故障及组串反接告警处理</t>
  </si>
  <si>
    <t>可燃气体检测设备告警</t>
  </si>
  <si>
    <t>外部结构件及螺丝生锈
Rust on External Structural Components and Screws</t>
  </si>
  <si>
    <t>频率偏移有功功率调节故障处理</t>
  </si>
  <si>
    <t>温度不平衡告警处理</t>
  </si>
  <si>
    <t>事故通风系统告警</t>
  </si>
  <si>
    <t>外部结构件腐蚀
 Corrosion of External Structural Components</t>
  </si>
  <si>
    <t>电压偏移无功调节故障处理</t>
  </si>
  <si>
    <t>组串电流反灌处理</t>
  </si>
  <si>
    <t>事故通风系统通信告警</t>
  </si>
  <si>
    <t>结构件损坏
Structural Component Damage</t>
  </si>
  <si>
    <t>内部器件腐蚀
Corrosion of Internal Components</t>
  </si>
  <si>
    <t>交流过流故障处理</t>
  </si>
  <si>
    <t>交流侧防雷告警处理</t>
  </si>
  <si>
    <t>枪座损坏
Charging Gun Socket Damage</t>
  </si>
  <si>
    <t>油温异常故障处理</t>
  </si>
  <si>
    <t>直流侧防雷告警处理</t>
  </si>
  <si>
    <t>1#消防系统火警</t>
  </si>
  <si>
    <t>底座损坏
Base Damage</t>
  </si>
  <si>
    <t>铜排温度异常故障处理</t>
  </si>
  <si>
    <t>2#消防系统火警</t>
  </si>
  <si>
    <t>结构撞件变形
Structural Component Deformation</t>
  </si>
  <si>
    <t>载波同步故障处理</t>
  </si>
  <si>
    <t>直流过压处理</t>
  </si>
  <si>
    <t>电网过频处理</t>
  </si>
  <si>
    <t>结构件凹陷鼓包
Structural Component Denting and Bulging</t>
  </si>
  <si>
    <t>GFDI保护故障处理</t>
  </si>
  <si>
    <t>母线过压处理</t>
  </si>
  <si>
    <t>电网欠频处理</t>
  </si>
  <si>
    <t>消防系统故障1</t>
  </si>
  <si>
    <t>电路异常
Circuit Abnormality</t>
  </si>
  <si>
    <t>直流端子烧毁
 DC Terminal Burnout</t>
  </si>
  <si>
    <t>直流电压采样故障除处理</t>
  </si>
  <si>
    <t>漏电流超标处理</t>
  </si>
  <si>
    <t>事故通风系统故障</t>
  </si>
  <si>
    <t>交流端子烧毁
AC Terminal Burnout</t>
  </si>
  <si>
    <t>母线过压故障处理</t>
  </si>
  <si>
    <t>直流电压采样故障处理</t>
  </si>
  <si>
    <t>直流母线电压过高处理</t>
  </si>
  <si>
    <t>1#气溶胶喷洒</t>
  </si>
  <si>
    <t>整机炸机
Complete Machine Explosion/Failure</t>
  </si>
  <si>
    <t>直流过电压故障处理</t>
  </si>
  <si>
    <t>GFRT运行处理</t>
  </si>
  <si>
    <t>系统绝缘阻抗低处理</t>
  </si>
  <si>
    <t>2#气溶胶喷洒</t>
  </si>
  <si>
    <t>模块炸机
Module Explosion/Failure</t>
  </si>
  <si>
    <t>机器码重复故障处理</t>
  </si>
  <si>
    <t>直流分量故障处理</t>
  </si>
  <si>
    <t>硬件过压过流保护处理</t>
  </si>
  <si>
    <t>气体探测主机故障</t>
  </si>
  <si>
    <t>故障后二次合闸
Secondary Closing After Fault</t>
  </si>
  <si>
    <t>GFRT运行故障处理</t>
  </si>
  <si>
    <t>电流不平衡故障处理</t>
  </si>
  <si>
    <t>可燃气体浓度超限</t>
  </si>
  <si>
    <t>带电插拔
Hot Plugging/Unplugging</t>
  </si>
  <si>
    <t>孤岛保护故障处理</t>
  </si>
  <si>
    <t>过载保护处理</t>
  </si>
  <si>
    <t>R 相电流采样通道故障、S 相电流采样通道故障、T 相电流采样通道故障</t>
  </si>
  <si>
    <t>可燃气体低浓度超限</t>
  </si>
  <si>
    <t>调试开关电源失效
Debugging Switching Power Supply Failure</t>
  </si>
  <si>
    <t>开关电源失效
 Switching Power Supply Failure</t>
  </si>
  <si>
    <t>防PID电源异常故障处理</t>
  </si>
  <si>
    <t>温湿度板通信异常:</t>
  </si>
  <si>
    <t>直流开关跳脱处理</t>
  </si>
  <si>
    <t>可燃气体高浓度超限</t>
  </si>
  <si>
    <t>调试风扇失效
Debugging Fan Failure</t>
  </si>
  <si>
    <t>风扇失效
 Fan Failure</t>
  </si>
  <si>
    <t>电网电压不平衡故障处理</t>
  </si>
  <si>
    <t>风扇告警处理</t>
  </si>
  <si>
    <t>风机供电回路故障</t>
  </si>
  <si>
    <t>调试屏幕失效
Debugging Screen Failure</t>
  </si>
  <si>
    <t>屏幕失效
Screen Failure</t>
  </si>
  <si>
    <t>交流过电压故障</t>
  </si>
  <si>
    <t>BSP主断路器断开</t>
  </si>
  <si>
    <t>调试充电枪失效
 Debugging Charging Gun Failure</t>
  </si>
  <si>
    <t>充电枪失效
Charging Gun Failure</t>
  </si>
  <si>
    <t>远程紧急停机故障处理</t>
  </si>
  <si>
    <t>低压门禁保护</t>
  </si>
  <si>
    <t>BCP交流断路器断开</t>
  </si>
  <si>
    <t>急停按钮动作故障
Emergency Stop Button Operation Fault</t>
  </si>
  <si>
    <t>急停按钮失效
Emergency Stop Button Failure</t>
  </si>
  <si>
    <t>SCU主从通信错误故障处理</t>
  </si>
  <si>
    <t>交流过频故障</t>
  </si>
  <si>
    <t>消防系统一级报警</t>
  </si>
  <si>
    <t>交流断路器故障
AC Circuit Breaker Fault</t>
  </si>
  <si>
    <t>交流断路器失效
AC Circuit Breaker Failure</t>
  </si>
  <si>
    <t>接地熔断器异常故障处理</t>
  </si>
  <si>
    <t>交流欠频故障</t>
  </si>
  <si>
    <t>消防系统二级报警</t>
  </si>
  <si>
    <t>直流母线输出接触器故障
DC Bus Output Contactor Fault</t>
  </si>
  <si>
    <t>直流接触器失效
DC Contactor Failure</t>
  </si>
  <si>
    <t>逆变器过压故障处理</t>
  </si>
  <si>
    <t>温度异常报警</t>
  </si>
  <si>
    <t>PCS气溶胶释放</t>
  </si>
  <si>
    <t>充电接口电子锁故障
Charging Interface Electronic Lock Fault</t>
  </si>
  <si>
    <t>充电枪电子锁失效
 Charging Gun Electronic Lock Failure</t>
  </si>
  <si>
    <t>过载保护故障处理</t>
  </si>
  <si>
    <t>交流欠压</t>
  </si>
  <si>
    <t>泄爆板动作</t>
  </si>
  <si>
    <t>充电机风扇故障
  Charger Fan Fault</t>
  </si>
  <si>
    <t>交流欠频故障处理</t>
  </si>
  <si>
    <t>交流绝缘检测通信异常</t>
  </si>
  <si>
    <t>变压器温控故障</t>
  </si>
  <si>
    <t>避雷器故障
Surge Arrester Fault</t>
  </si>
  <si>
    <t>避雷器失效
Surge Arrester Failure</t>
  </si>
  <si>
    <t>交流欠压故障处理</t>
  </si>
  <si>
    <t>IO-DSP通信异常</t>
  </si>
  <si>
    <t>变压器超温告警</t>
  </si>
  <si>
    <t>绝缘检测故障
Insulation Detection Fault</t>
  </si>
  <si>
    <t>绝缘检测仪失效
Insulation Tester Failure</t>
  </si>
  <si>
    <t>交流过频故障处理</t>
  </si>
  <si>
    <t>逆变过压</t>
  </si>
  <si>
    <t>变压器超温跳闸</t>
  </si>
  <si>
    <t>直流输出接触器粘连故障
DC Output Contactor Welding Fault</t>
  </si>
  <si>
    <t>直流接触器粘连
DC Contactor Welding</t>
  </si>
  <si>
    <t>交流过压故障处理</t>
  </si>
  <si>
    <t>接地熔断器异常</t>
  </si>
  <si>
    <t>开关盒风扇供电异常</t>
  </si>
  <si>
    <t>熔断器故障
Fuse Fault</t>
  </si>
  <si>
    <t>熔断器失效
Fuse Failure</t>
  </si>
  <si>
    <t>支路熔丝异常</t>
  </si>
  <si>
    <t>泄放回路故障
Discharge Circuit Fault</t>
  </si>
  <si>
    <t>充电模块失效
Charging Module Failure</t>
  </si>
  <si>
    <t>烟感故障处理</t>
  </si>
  <si>
    <t>SCU主从通信异常</t>
  </si>
  <si>
    <t>BSC-LC通信故障</t>
  </si>
  <si>
    <t>辅助电源故障
Auxiliary Power Supply Fault</t>
  </si>
  <si>
    <t>辅助电源失效
Auxiliary Power Supply Failure</t>
  </si>
  <si>
    <t>门禁保护故障处理</t>
  </si>
  <si>
    <t>HVRT运行</t>
  </si>
  <si>
    <t>并联接触器故障
Parallel Contactor Fault</t>
  </si>
  <si>
    <t>并连接触器失效
 Parallel Contactor Failure</t>
  </si>
  <si>
    <t>交流电容故障</t>
  </si>
  <si>
    <t>LVRT运行</t>
  </si>
  <si>
    <t>单元故障</t>
  </si>
  <si>
    <t>充电模块故障
Charging Module Fault</t>
  </si>
  <si>
    <t>电能表通讯故障
Electric Energy Meter Communication Fault</t>
  </si>
  <si>
    <t>电能表失效
Electric Energy Meter Failure</t>
  </si>
  <si>
    <t>辅助子设备故障</t>
  </si>
  <si>
    <t>刷卡机通信故障
Card Reader Communication Fault</t>
  </si>
  <si>
    <t>读卡器失效
Card Reader Failure</t>
  </si>
  <si>
    <t>支路正向过流告警处理</t>
  </si>
  <si>
    <t>充电桩水浸故障
Charging Pile Water Ingress Fault</t>
  </si>
  <si>
    <t>传感器失效
Card Reader Failure</t>
  </si>
  <si>
    <t>门禁故障
Access Control Fault</t>
  </si>
  <si>
    <t>门禁失效
Access Control Failure</t>
  </si>
  <si>
    <t>单元告警</t>
  </si>
  <si>
    <t>4G通信板失效
 4G Communication Board Failure</t>
  </si>
  <si>
    <t>消防干节点火警</t>
  </si>
  <si>
    <t>主控板异常
 Master Control Board Anomaly</t>
  </si>
  <si>
    <t>主控板失效
Master Control Board Failure</t>
  </si>
  <si>
    <t>可燃气体检测设备通信故障</t>
  </si>
  <si>
    <t>分控板异常
 Slave Control Board Anomaly</t>
  </si>
  <si>
    <t>分控板失效
Slave Control Board Failure</t>
  </si>
  <si>
    <t>消防干节点故障</t>
  </si>
  <si>
    <t>灯板异常
Light Panel Anomaly</t>
  </si>
  <si>
    <t>灯板失效
Light Panel Failure</t>
  </si>
  <si>
    <t>可燃气体报警控制器通信故障</t>
  </si>
  <si>
    <t>门锁打不开
Door Lock Failure (Unable to Open)</t>
  </si>
  <si>
    <t>门锁失效
Door Lock Failure</t>
  </si>
  <si>
    <t>消防气体未释放</t>
  </si>
  <si>
    <t>充电枪损坏
 Charging Gun Damage</t>
  </si>
  <si>
    <t>屏幕异常
Screen Anomaly</t>
  </si>
  <si>
    <t>BSC-CMU通信故障</t>
  </si>
  <si>
    <t>TCU问题
TCU Issue</t>
  </si>
  <si>
    <t>自研TCU失效
Self-Developed TCU Failure</t>
  </si>
  <si>
    <t>TCU(优利特)失效
Unitech TCU Failure</t>
  </si>
  <si>
    <t>液冷机组通信故障</t>
  </si>
  <si>
    <t>中间继电器异常
Intermediate Relay Anomaly</t>
  </si>
  <si>
    <t>中间继电器失效
Intermediate Relay Failure</t>
  </si>
  <si>
    <t>环境温度过低</t>
  </si>
  <si>
    <t>防倾倒故障
Anti-tip fault</t>
  </si>
  <si>
    <t>防倾倒开关失效
Anti-tip switch Failure</t>
  </si>
  <si>
    <t>蒸发侧水泵过载</t>
  </si>
  <si>
    <t>开关电源异常
Switching Power Supply Anomaly</t>
  </si>
  <si>
    <t>系统缺水故障</t>
  </si>
  <si>
    <t>交流接触器异常</t>
  </si>
  <si>
    <t>交流接触器失效
AC Contactor Failure</t>
  </si>
  <si>
    <t>模式切换失败故障</t>
  </si>
  <si>
    <t>HCU异常
HCU Anomaly</t>
  </si>
  <si>
    <t>HCU板卡失效
HCU Board Failure</t>
  </si>
  <si>
    <t>呼吸灯通信告警</t>
  </si>
  <si>
    <t>RCU异常
 RCU Anomaly</t>
  </si>
  <si>
    <t>RCU板卡失效
RCU Board Failure</t>
  </si>
  <si>
    <t>液冷机组告警</t>
  </si>
  <si>
    <t>PCU异常
PCU Anomaly</t>
  </si>
  <si>
    <t>PCU板卡失效
 PCU Board Failure</t>
  </si>
  <si>
    <t>温湿度表通信告警</t>
  </si>
  <si>
    <t>CCU异常
 CCU Anomaly</t>
  </si>
  <si>
    <t>CCU板卡失效 
CCU Board Failure</t>
  </si>
  <si>
    <t>温湿度表告警</t>
  </si>
  <si>
    <t>急停按下
 Emergency Stop Pressed</t>
  </si>
  <si>
    <t>除湿器告警</t>
  </si>
  <si>
    <t>插枪松动
Loose Charging Gun Connection</t>
  </si>
  <si>
    <t>除湿器通信告警</t>
  </si>
  <si>
    <t>锁枪失败
Charging Gun Locking Failure</t>
  </si>
  <si>
    <t>气体浓度显示屏通信告警</t>
  </si>
  <si>
    <t>解锁失败
Charging Gun Unlocking Failure</t>
  </si>
  <si>
    <t>一级告警</t>
  </si>
  <si>
    <t>物联网卡损坏
IoT Card Damage</t>
  </si>
  <si>
    <t>二级告警</t>
  </si>
  <si>
    <t>流量欠费
Data Plan Arrears</t>
  </si>
  <si>
    <t>设备告警</t>
  </si>
  <si>
    <t>物联网卡没插严
Loose IoT Card Connection</t>
  </si>
  <si>
    <t>设备故障</t>
  </si>
  <si>
    <t>调试接线错误
Debugging Wiring Error</t>
  </si>
  <si>
    <t>线路接错
Wiring Mistake</t>
  </si>
  <si>
    <t>1#温感高温告警</t>
  </si>
  <si>
    <t>调试螺丝滑牙断裂
Debugging Screw Stripping and Fracture</t>
  </si>
  <si>
    <t>螺丝滑牙断裂
Screw Stripping and Fracture</t>
  </si>
  <si>
    <t>1#温感低温告警</t>
  </si>
  <si>
    <t>调试箱体外观异常
Debugging Cabinet Appearance Anomaly</t>
  </si>
  <si>
    <t>箱体外观异常
Cabinet Appearance Anomaly</t>
  </si>
  <si>
    <t>1#温感故障告警</t>
  </si>
  <si>
    <t>调试箱体外观变形
Debugging Cabinet Appearance Deformation</t>
  </si>
  <si>
    <t>箱体外观变形
Cabinet Appearance Deformation</t>
  </si>
  <si>
    <t>2#温感高温告警</t>
  </si>
  <si>
    <t>调试结构件脱落
Debugging Structural Component Detachment</t>
  </si>
  <si>
    <t>结构件脱落
 Structural Component Detachment</t>
  </si>
  <si>
    <t>2#温感低温告警</t>
  </si>
  <si>
    <t>调试出厂标签贴错
Incorrect Labeling of Factory Tags During Debugging</t>
  </si>
  <si>
    <t>出厂标签贴错
Incorrect Factory Labeling</t>
  </si>
  <si>
    <t>2#温感故障告警</t>
  </si>
  <si>
    <t>人为损坏设备
Intentional Equipment Damage</t>
  </si>
  <si>
    <t>充电线缆损坏
Charging Cable Damage</t>
  </si>
  <si>
    <t>高湿告警</t>
  </si>
  <si>
    <t>箱体破坏性撞击
Destructive Impact on Cabinet</t>
  </si>
  <si>
    <t>湿感故障告警</t>
  </si>
  <si>
    <t>接线错误
Wiring Error</t>
  </si>
  <si>
    <t>整桩失效
Complete Pile Failure</t>
  </si>
  <si>
    <t>参数存储告警</t>
  </si>
  <si>
    <t>显示面板破裂
Display Panel Crack</t>
  </si>
  <si>
    <t>除湿故障告警</t>
  </si>
  <si>
    <t>充电枪座损坏
 Charging Gun Socket Damage</t>
  </si>
  <si>
    <t>空枪座拽裂
 Empty Gun Socket Tear</t>
  </si>
  <si>
    <t>风机故障告警</t>
  </si>
  <si>
    <t>第三方问题
Third-Party Issue</t>
  </si>
  <si>
    <t>第三方平台兼容性
Third-Party Platform Compatibility</t>
  </si>
  <si>
    <t>低温告警</t>
  </si>
  <si>
    <t>高温告警</t>
  </si>
  <si>
    <t>设备离线
Device Offline</t>
  </si>
  <si>
    <t>第三方管理平台异常
Third-Party Management Platform Anomaly</t>
  </si>
  <si>
    <t>温感故障告警</t>
  </si>
  <si>
    <t>车辆问题
Vehicle Issue</t>
  </si>
  <si>
    <t>车辆通讯超时
 Vehicle Communication Timeout</t>
  </si>
  <si>
    <t>车辆数据错误
Vehicle Data Error</t>
  </si>
  <si>
    <t>车辆唤醒异常
Vehicle Wake-Up Anomaly</t>
  </si>
  <si>
    <t>风扇故障告警</t>
  </si>
  <si>
    <t>车端采样异常
Vehicle-Side Sampling Anomaly</t>
  </si>
  <si>
    <t>系统紧急停机</t>
  </si>
  <si>
    <t>充电桩过温故障
Charging Pile Over-temperature Fault</t>
  </si>
  <si>
    <t>桩内过温
 Internal Pile Over-Temperature</t>
  </si>
  <si>
    <t>系统舱门打开</t>
  </si>
  <si>
    <t>充电接口过温故障
Charging Interface Over-temperature Fault</t>
  </si>
  <si>
    <t>充电枪过温
 Charging Gun Over-Temperature</t>
  </si>
  <si>
    <t>消防气体释放</t>
  </si>
  <si>
    <t>交流输入过压故障
AC Input Overvoltage Fault</t>
  </si>
  <si>
    <t>交流输入过压
AC Input Overvoltage</t>
  </si>
  <si>
    <t>消防系统放气</t>
  </si>
  <si>
    <t>交流输入欠压故障
AC Input Undervoltage Fault</t>
  </si>
  <si>
    <t>交流输入欠压
 AC Input Undervoltage</t>
  </si>
  <si>
    <t>消防系统预警</t>
  </si>
  <si>
    <t>市电缺相故障
Mains Power Phase Loss Fault</t>
  </si>
  <si>
    <t>交流缺相
 AC Phase Loss</t>
  </si>
  <si>
    <t>烟温感告警</t>
  </si>
  <si>
    <t>系统掉电故障
System Power Fault</t>
  </si>
  <si>
    <t>交流电跳闸
AC Power Trip</t>
  </si>
  <si>
    <t>低压供电回路故障</t>
  </si>
  <si>
    <t>2P开关跳闸
 2P Switch Trip</t>
  </si>
  <si>
    <t>水浸探测器动作</t>
  </si>
  <si>
    <t>施工问题
Construction Issue</t>
  </si>
  <si>
    <t>施工安装及调试有误
Incorrect Construction, Installation and Commissioning</t>
  </si>
  <si>
    <t xml:space="preserve">四级故障 </t>
  </si>
  <si>
    <t>交流防雷器故障</t>
  </si>
  <si>
    <t>开关电源市电断开</t>
  </si>
  <si>
    <t>配电盒内部过温</t>
  </si>
  <si>
    <t>直流汇总熔丝故障</t>
  </si>
  <si>
    <t>变压器支路断路器断开</t>
  </si>
  <si>
    <t>PMD交流断路器断开</t>
  </si>
  <si>
    <t>PMD交流防雷器故障</t>
  </si>
  <si>
    <t>PMD开关电源市电断开故障</t>
  </si>
  <si>
    <t>PMD电源过温故障</t>
  </si>
  <si>
    <t>PMD变压器过温故障</t>
  </si>
  <si>
    <t>PMD直流防雷器故障</t>
  </si>
  <si>
    <t>PMD开关电源高压直流供电断开</t>
  </si>
  <si>
    <t>BCP直流防雷器故障</t>
  </si>
  <si>
    <t>BCP内部过温故障</t>
  </si>
  <si>
    <t>BCP熔断器故障</t>
  </si>
  <si>
    <t>BCP1直流防雷故障</t>
  </si>
  <si>
    <t>BCP2直流防雷故障</t>
  </si>
  <si>
    <t>BSP UPS市电断开故障</t>
  </si>
  <si>
    <t>BSP交流防雷器异常</t>
  </si>
  <si>
    <t>BSP开关电源市电断开</t>
  </si>
  <si>
    <t>BSP电源过温故障</t>
  </si>
  <si>
    <t>BSP变压器过温故障</t>
  </si>
  <si>
    <t>BSP开关电源高压直流供电断开</t>
  </si>
  <si>
    <t>EIP直流防雷器故障</t>
  </si>
  <si>
    <t>EIP内部过温故障</t>
  </si>
  <si>
    <t>事故通风自动状态监控</t>
  </si>
  <si>
    <t>BCP交流防雷器故障</t>
  </si>
  <si>
    <t>BCP开关电源市电断开故障</t>
  </si>
  <si>
    <t>BCP电源过温故障</t>
  </si>
  <si>
    <t>BCP变压器过温故障</t>
  </si>
  <si>
    <t>BCP开关电源高压直流供电断开</t>
  </si>
  <si>
    <t>事故通风系统供电异常</t>
  </si>
  <si>
    <t>液冷风盘供电异常</t>
  </si>
  <si>
    <t>BCP1-1直流开关断开</t>
  </si>
  <si>
    <t>BCP1-2直流开关断开</t>
  </si>
  <si>
    <t>BCP2-1直流开关断开</t>
  </si>
  <si>
    <t>BCP2-2直流开关断开</t>
  </si>
  <si>
    <t>BCP1-1直流防雷故障</t>
  </si>
  <si>
    <t>BCP1-2直流防雷故障</t>
  </si>
  <si>
    <t>BCP2-1直流防雷故障</t>
  </si>
  <si>
    <t>BCP2-2直流防雷故障</t>
  </si>
  <si>
    <t>BCP1-1熔断器故障</t>
  </si>
  <si>
    <t>BCP1-2熔断器故障</t>
  </si>
  <si>
    <t>BCP2-1熔断器故障</t>
  </si>
  <si>
    <t>BCP2-2熔断器故障</t>
  </si>
  <si>
    <t>BCP1-1直流防雷＆熔断器故障</t>
  </si>
  <si>
    <t>BCP1-2直流防雷＆熔断器故障</t>
  </si>
  <si>
    <t>BCP2-1直流防雷＆熔断器故障</t>
  </si>
  <si>
    <t>BCP2-2直流防雷＆熔断器故障</t>
  </si>
  <si>
    <t>BSP交流断路器断开1</t>
  </si>
  <si>
    <t>BSP交流断路器断开2</t>
  </si>
  <si>
    <t>BSP交流断路器断开3</t>
  </si>
  <si>
    <t>BSP交流熔断器断开</t>
  </si>
  <si>
    <t>感温探测器触发</t>
  </si>
  <si>
    <t>感烟探测器触发</t>
  </si>
  <si>
    <t>极早期烟雾探测器故障</t>
  </si>
  <si>
    <t>极早期烟雾探测器触发</t>
  </si>
  <si>
    <t>极早期烟雾探测器火警</t>
  </si>
  <si>
    <t>变压器舱网门打开</t>
  </si>
  <si>
    <t>低压柜开关断开</t>
  </si>
  <si>
    <t>高压熔断器故障</t>
  </si>
  <si>
    <t>高压开关断开</t>
  </si>
  <si>
    <t>接地开关断开</t>
  </si>
  <si>
    <t>BSP交流防雷故障2</t>
  </si>
  <si>
    <t>BSP交流断路器断开4</t>
  </si>
  <si>
    <t>消防防雷器异常</t>
  </si>
  <si>
    <t>交流熔断器防护面板打开</t>
  </si>
  <si>
    <t>交流熔断器动作</t>
  </si>
  <si>
    <t>BSP支路断路器断开</t>
  </si>
  <si>
    <t>BCP直流防雷器异常</t>
  </si>
  <si>
    <t>BCP主断路器断开</t>
  </si>
  <si>
    <t>BCP交流防雷器异常</t>
  </si>
  <si>
    <t>BSP开关电源市电断开故障</t>
  </si>
  <si>
    <t>PCS告警故障</t>
  </si>
  <si>
    <t>直流欠压</t>
  </si>
  <si>
    <t>直流过压</t>
  </si>
  <si>
    <t>交流过压</t>
  </si>
  <si>
    <t>交流欠频</t>
  </si>
  <si>
    <t>交流过频</t>
  </si>
  <si>
    <t>孤岛保护</t>
  </si>
  <si>
    <t>模块过温</t>
  </si>
  <si>
    <t>过载保护</t>
  </si>
  <si>
    <t>直流过流</t>
  </si>
  <si>
    <t>交流过流</t>
  </si>
  <si>
    <t>环温异常</t>
  </si>
  <si>
    <t>硬件故障</t>
  </si>
  <si>
    <t>蓄电池过压</t>
  </si>
  <si>
    <t>蓄电池欠压</t>
  </si>
  <si>
    <t>绝缘阻抗</t>
  </si>
  <si>
    <t>模拟量偏置异常</t>
  </si>
  <si>
    <t>电池极性反接</t>
  </si>
  <si>
    <t>交流电流不平衡</t>
  </si>
  <si>
    <t>机器码重复故障</t>
  </si>
  <si>
    <t>并机通讯故障</t>
  </si>
  <si>
    <t>交流电压不平衡</t>
  </si>
  <si>
    <t>母线电压不平衡故障</t>
  </si>
  <si>
    <t>载波同步故障</t>
  </si>
  <si>
    <t>热管理系统告警故障</t>
  </si>
  <si>
    <t>冷凝侧回水温度传感器故障</t>
  </si>
  <si>
    <t>冷凝侧回水压力传感器故障</t>
  </si>
  <si>
    <t>冷凝侧出水温度传感器故障</t>
  </si>
  <si>
    <t>冷凝侧出水压力传感器故障</t>
  </si>
  <si>
    <t>蒸发侧回水温度传感器故障</t>
  </si>
  <si>
    <t>蒸发侧回水压力传感器故障</t>
  </si>
  <si>
    <t>蒸发侧出水温度传感器故障</t>
  </si>
  <si>
    <t>蒸发侧出水压力传感器故障</t>
  </si>
  <si>
    <t>1#低压压力传感器故障</t>
  </si>
  <si>
    <t>2#低压压力传感器故障</t>
  </si>
  <si>
    <t>1#高压压力传感器故障</t>
  </si>
  <si>
    <t>2#高压压力传感器故障</t>
  </si>
  <si>
    <t>1#吸气温度传感器故障</t>
  </si>
  <si>
    <t>2#吸气温度传感器故障</t>
  </si>
  <si>
    <t>环境温度传感器故障</t>
  </si>
  <si>
    <t>热继电器过载</t>
  </si>
  <si>
    <t>1#高压开关断开告警</t>
  </si>
  <si>
    <t>2#高压开关断开告警</t>
  </si>
  <si>
    <t>1#低压开关断开告警</t>
  </si>
  <si>
    <t>2#低压开关断开告警</t>
  </si>
  <si>
    <t>蒸发侧液位低报警</t>
  </si>
  <si>
    <t>冷凝侧液位低报警</t>
  </si>
  <si>
    <t>BSC离线告警</t>
  </si>
  <si>
    <t>eeprom读取异常</t>
  </si>
  <si>
    <t>1#压缩机回路锁定</t>
  </si>
  <si>
    <t>2#压缩机回路锁定</t>
  </si>
  <si>
    <t>蒸发侧出水压力过高</t>
  </si>
  <si>
    <t>蒸发侧回水压力过低</t>
  </si>
  <si>
    <t>冷凝侧出水压力过高</t>
  </si>
  <si>
    <t>冷凝侧回水压力过低</t>
  </si>
  <si>
    <t>蒸发侧出水温度过高</t>
  </si>
  <si>
    <t>冷凝侧出水温度过高</t>
  </si>
  <si>
    <t>冷凝侧回水温度过高</t>
  </si>
  <si>
    <t>1#压缩机过载</t>
  </si>
  <si>
    <t>2#压缩机过载</t>
  </si>
  <si>
    <t>1#压缩机变频器故障</t>
  </si>
  <si>
    <t>2#压缩机变频器故障</t>
  </si>
  <si>
    <t>1#膨胀阀控制器故障</t>
  </si>
  <si>
    <t>2#膨胀阀控制器故障</t>
  </si>
  <si>
    <t>1#蒸发侧风机故障</t>
  </si>
  <si>
    <t>2#蒸发侧风机故障</t>
  </si>
  <si>
    <t>3#蒸发侧风机故障</t>
  </si>
  <si>
    <t>4#蒸发侧风机故障</t>
  </si>
  <si>
    <t>5#蒸发侧风机故障</t>
  </si>
  <si>
    <t>6#蒸发侧风机故障</t>
  </si>
  <si>
    <t>7#蒸发侧风机故障</t>
  </si>
  <si>
    <t>8#蒸发侧风机故障</t>
  </si>
  <si>
    <t>9#蒸发侧风机故障</t>
  </si>
  <si>
    <t>1#冷凝侧风机故障</t>
  </si>
  <si>
    <t>2#冷凝侧风机故障</t>
  </si>
  <si>
    <t>3#冷凝侧风机故障</t>
  </si>
  <si>
    <t>CMU告警故障</t>
  </si>
  <si>
    <t>电芯过压告警</t>
  </si>
  <si>
    <t>电芯欠压告警</t>
  </si>
  <si>
    <t>总压过压告警</t>
  </si>
  <si>
    <t>总压欠压告警</t>
  </si>
  <si>
    <t>电芯过温告警</t>
  </si>
  <si>
    <t>电芯低温告警</t>
  </si>
  <si>
    <t>CMU-BMU通信告警</t>
  </si>
  <si>
    <t>电压采样告警</t>
  </si>
  <si>
    <t>温度采样告警</t>
  </si>
  <si>
    <t>心跳告警</t>
  </si>
  <si>
    <t>充电过流告警</t>
  </si>
  <si>
    <t>放电过流告警</t>
  </si>
  <si>
    <t>Pack过压告警</t>
  </si>
  <si>
    <t>Pack欠压告警</t>
  </si>
  <si>
    <t>温升告警</t>
  </si>
  <si>
    <t>电芯过压故障</t>
  </si>
  <si>
    <t>电芯欠压故障</t>
  </si>
  <si>
    <t>总压过压故障</t>
  </si>
  <si>
    <t>总压欠压故障</t>
  </si>
  <si>
    <t>电芯过温故障</t>
  </si>
  <si>
    <t>电芯低温故障</t>
  </si>
  <si>
    <t>绝缘漏电故障</t>
  </si>
  <si>
    <t>CMU-BMU通信故障</t>
  </si>
  <si>
    <t>电压采样故障</t>
  </si>
  <si>
    <t>温度采样故障</t>
  </si>
  <si>
    <t>电流采样超限故障</t>
  </si>
  <si>
    <t>CMU-SMU通信故障</t>
  </si>
  <si>
    <t>软件版本故障</t>
  </si>
  <si>
    <t>充电过流故障</t>
  </si>
  <si>
    <t>放电过流故障</t>
  </si>
  <si>
    <t>短路故障</t>
  </si>
  <si>
    <t>Pack过压故障</t>
  </si>
  <si>
    <t>Pack欠压故障</t>
  </si>
  <si>
    <t>接触器故障</t>
  </si>
  <si>
    <t>极性反接故障</t>
  </si>
  <si>
    <t>CMU-ARM通信故障</t>
  </si>
  <si>
    <t>温升故障</t>
  </si>
  <si>
    <t>MSD故障</t>
  </si>
  <si>
    <t>Pack压差告警</t>
  </si>
  <si>
    <t>电芯压差告警</t>
  </si>
  <si>
    <t>电芯温差告警</t>
  </si>
  <si>
    <t>总压压差告警</t>
  </si>
  <si>
    <t>铜排过温告警</t>
  </si>
  <si>
    <t>铜排低温告警</t>
  </si>
  <si>
    <t>电芯压差故障</t>
  </si>
  <si>
    <t>电芯温差故障</t>
  </si>
  <si>
    <t>Pack压差故障</t>
  </si>
  <si>
    <t>熔丝故障</t>
  </si>
  <si>
    <t>总压压差故障</t>
  </si>
  <si>
    <t>断路器故障/主负接触器故障</t>
  </si>
  <si>
    <t>铜排过温故障</t>
  </si>
  <si>
    <t>温度传感器异常故障</t>
  </si>
  <si>
    <t>铜排低温故障</t>
  </si>
  <si>
    <t>中压设备告警故障</t>
  </si>
  <si>
    <t>SCC烟感动作</t>
  </si>
  <si>
    <t>主回路防雷器异常</t>
  </si>
  <si>
    <t>SCC主回路QF1断开</t>
  </si>
  <si>
    <t>SCC主回路QF2断开</t>
  </si>
  <si>
    <t>自供电变压器过温</t>
  </si>
  <si>
    <t>SCC辅电回路QF3断开</t>
  </si>
  <si>
    <t>辅助供电变压器过温</t>
  </si>
  <si>
    <t>UPS市电断开</t>
  </si>
  <si>
    <t>油温跳闸</t>
  </si>
  <si>
    <t>低油位跳闸</t>
  </si>
  <si>
    <t>油压跳闸</t>
  </si>
  <si>
    <t>绕组温度跳闸</t>
  </si>
  <si>
    <t>瓦斯跳闸</t>
  </si>
  <si>
    <t>高压室烟感</t>
  </si>
  <si>
    <t>中压断路器</t>
  </si>
  <si>
    <t>服务项目</t>
  </si>
  <si>
    <t>服务类型</t>
  </si>
  <si>
    <t>服务项目说明</t>
  </si>
  <si>
    <r>
      <rPr>
        <b/>
        <sz val="10"/>
        <rFont val="宋体"/>
        <charset val="134"/>
      </rPr>
      <t>在途</t>
    </r>
    <r>
      <rPr>
        <sz val="10"/>
        <rFont val="宋体"/>
        <charset val="134"/>
      </rPr>
      <t xml:space="preserve">
</t>
    </r>
    <r>
      <rPr>
        <b/>
        <sz val="10"/>
        <rFont val="宋体"/>
        <charset val="134"/>
      </rPr>
      <t>（单程耗时）</t>
    </r>
    <r>
      <rPr>
        <sz val="10"/>
        <rFont val="宋体"/>
        <charset val="134"/>
      </rPr>
      <t xml:space="preserve">
</t>
    </r>
    <r>
      <rPr>
        <b/>
        <sz val="10"/>
        <color rgb="FFFE0300"/>
        <rFont val="宋体"/>
        <charset val="134"/>
      </rPr>
      <t>根据服务半径考虑路程费，不单独计算工时</t>
    </r>
  </si>
  <si>
    <t>入场办理
（含开票、培训、PPE穿戴、现场断电）</t>
  </si>
  <si>
    <t>业务场景工时（H)</t>
  </si>
  <si>
    <t>备机搬运</t>
  </si>
  <si>
    <t>离场交接
（含垃圾清运、服务报告整理回填）</t>
  </si>
  <si>
    <t>业务场景总计工时（H)</t>
  </si>
  <si>
    <t>综合单价</t>
  </si>
  <si>
    <t>一级分类</t>
  </si>
  <si>
    <t>二级分类</t>
  </si>
  <si>
    <t>标准公式单价</t>
  </si>
  <si>
    <t>SG30HX</t>
  </si>
  <si>
    <t>运维,整改</t>
  </si>
  <si>
    <t>维修,整改</t>
  </si>
  <si>
    <t>SG30系列整机更换，按2人配合作业</t>
  </si>
  <si>
    <t>已在业务场景工时中核算</t>
  </si>
  <si>
    <t>SG50HX</t>
  </si>
  <si>
    <t>SG50系列整机更换，按2人配合作业</t>
  </si>
  <si>
    <t>SG110</t>
  </si>
  <si>
    <t>SG110系列整机更换，按2人配合作业</t>
  </si>
  <si>
    <t>待本周现场测算，周五前确认</t>
  </si>
  <si>
    <t>项目交付</t>
  </si>
  <si>
    <t>未并网交付期间，无需办理入场</t>
  </si>
  <si>
    <t>不涉及</t>
  </si>
  <si>
    <t>项目进度以客户需求为主、进度不可控，交付场景按人天招标</t>
  </si>
  <si>
    <t>项目运维_巡检</t>
  </si>
  <si>
    <t>巡检</t>
  </si>
  <si>
    <t>SG320系列逆变器运维巡检服务</t>
  </si>
  <si>
    <t>一级故障恢复</t>
  </si>
  <si>
    <t>维修</t>
  </si>
  <si>
    <t>更换器件</t>
  </si>
  <si>
    <t>待确认是否备件/备机搬运难度</t>
  </si>
  <si>
    <t>一级故障是否要增加4H搬运时间</t>
  </si>
  <si>
    <t>二级故障恢复</t>
  </si>
  <si>
    <t>未更换器件</t>
  </si>
  <si>
    <t>屋顶320是否进行维修</t>
  </si>
  <si>
    <t>＞3台项目，按4人配合作业</t>
  </si>
  <si>
    <t>路程时间按整改每天工作量、转换成H/台</t>
  </si>
  <si>
    <t>≤3台项目，按4人配合作业</t>
  </si>
  <si>
    <t>待确认备机搬运时间、或指定固定价格</t>
  </si>
  <si>
    <t>SG4400UD-MV系列逆变器并网调试服务</t>
  </si>
  <si>
    <t>SG3300UD-MV系列逆变器运维服务</t>
  </si>
  <si>
    <t/>
  </si>
  <si>
    <t>巡检入场作业时间调整，存在无需开票部分</t>
  </si>
  <si>
    <t>仅保留平均值计算</t>
  </si>
  <si>
    <t>SG4400UD-MV系列逆变器运维服务</t>
  </si>
  <si>
    <t>只保留此项</t>
  </si>
  <si>
    <t>三级故障恢复</t>
  </si>
  <si>
    <t>四级故障恢复</t>
  </si>
  <si>
    <t>3125巡检工时与1+X一致</t>
  </si>
  <si>
    <t>逆变器不在岸边，定义为水上光伏
只保留此项，入场办理+故障处理最高8H
吊车+叉车单独申请</t>
  </si>
  <si>
    <t>设备到货检查及安装_交付</t>
  </si>
  <si>
    <t>储能所有服务场景，基于服务能力，按人天招标</t>
  </si>
  <si>
    <t>冷调检查_交付</t>
  </si>
  <si>
    <t>系统通讯调试_交付</t>
  </si>
  <si>
    <t>系统IP配置，通讯调试</t>
  </si>
  <si>
    <t>系统上电_交付</t>
  </si>
  <si>
    <t>单元级热调_交付</t>
  </si>
  <si>
    <t>系统热调_交付</t>
  </si>
  <si>
    <t>预防性维护_巡检</t>
  </si>
  <si>
    <t>计量单位为台/年耗时，需统计巡检频次，折算为单台单次耗时</t>
  </si>
  <si>
    <t>巡检出具宽泛版、无需断电</t>
  </si>
  <si>
    <t>PCS运维项目合计</t>
  </si>
  <si>
    <t>MVS运维项目</t>
  </si>
  <si>
    <t>部件更换_维修</t>
  </si>
  <si>
    <t>系统主要部件更换</t>
  </si>
  <si>
    <t>见部件更换清单</t>
  </si>
  <si>
    <t>见附件2</t>
  </si>
  <si>
    <t>320整改与维修更换整机成本一致不合理，维修更换单台考虑入场、备机搬运时间</t>
  </si>
  <si>
    <t>320维修更换控制板、PLC未包含在内</t>
  </si>
  <si>
    <t>搬运：模组耗时较长，需考虑此部分影响</t>
  </si>
  <si>
    <t>1+X单独议价整机更换&amp;关联设备处理费用</t>
  </si>
  <si>
    <t>储能按换件工时定价过低，约30%不更换部件，但排查时间较长</t>
  </si>
  <si>
    <t>储能增加平均排查时间，多台排查系数</t>
  </si>
  <si>
    <t>巡检、维修的多台整机更换（非整改）的工时计算逻辑</t>
  </si>
  <si>
    <t>多台只重复计算现场标准工时</t>
  </si>
  <si>
    <t>水上系数最高需做调整</t>
  </si>
  <si>
    <t>批量交付多次上门的在途+入场办理</t>
  </si>
  <si>
    <t>项目交付不考虑入场办理</t>
  </si>
  <si>
    <t>集中式50MW</t>
  </si>
  <si>
    <t>100MW-30台集中式</t>
  </si>
  <si>
    <t>技术交底1d</t>
  </si>
  <si>
    <t>安装抽检100MW去2次，2D/次</t>
  </si>
  <si>
    <t>并网前检查100WM 地面:20D，水上：40D</t>
  </si>
  <si>
    <t>并网调试5D</t>
  </si>
  <si>
    <t>屋顶系数偏高</t>
  </si>
  <si>
    <t>巡检频次统计</t>
  </si>
  <si>
    <t>集中式重点沟通西北</t>
  </si>
  <si>
    <t>附件2：PT2.0系统主要器件更换工时清单</t>
  </si>
  <si>
    <t>产品类别
Product Category</t>
  </si>
  <si>
    <t>系统类别
System Category</t>
  </si>
  <si>
    <t>器件位置
Component Location</t>
  </si>
  <si>
    <t>推荐作业工时合计</t>
  </si>
  <si>
    <t>备注
Remarks</t>
  </si>
  <si>
    <t>不含作业工时在内的综合工时
（在途、入场办理、离场交接，不区分业务场景）</t>
  </si>
  <si>
    <t>综合工时
（在途、入场办理、维修作业、离场交接全流程）</t>
  </si>
  <si>
    <t>PT2.0-HX</t>
  </si>
  <si>
    <t>ESS</t>
  </si>
  <si>
    <t>注排液</t>
  </si>
  <si>
    <t>MSD</t>
  </si>
  <si>
    <t>PACK更换</t>
  </si>
  <si>
    <t>BMU</t>
  </si>
  <si>
    <t>PCS熔丝盒</t>
  </si>
  <si>
    <t>PCS 风盘</t>
  </si>
  <si>
    <t>单PACK补电</t>
  </si>
  <si>
    <t>视PACK欠压状态而定，SOC每偏差1%，需补电0.15H</t>
  </si>
  <si>
    <t>电芯均衡</t>
  </si>
  <si>
    <t>视单电芯欠压状态而定，SOC每偏差1%，需补电3.5H</t>
  </si>
  <si>
    <t>烟感</t>
  </si>
  <si>
    <t>温感</t>
  </si>
  <si>
    <t>气体探测器</t>
  </si>
  <si>
    <t>门禁</t>
  </si>
  <si>
    <t>消防钢瓶</t>
  </si>
  <si>
    <t>簇间熔断器</t>
  </si>
  <si>
    <t>气溶胶</t>
  </si>
  <si>
    <t>液冷机组</t>
  </si>
  <si>
    <t>八通阀</t>
  </si>
  <si>
    <t>电源模块</t>
  </si>
  <si>
    <t>消防防雷器</t>
  </si>
  <si>
    <t>继电器</t>
  </si>
  <si>
    <t>温控器</t>
  </si>
  <si>
    <t>风扇</t>
  </si>
  <si>
    <t>电源盒DY1</t>
  </si>
  <si>
    <t>电源盒DY2~4</t>
  </si>
  <si>
    <t>BSC</t>
  </si>
  <si>
    <t>液冷机组控制器</t>
  </si>
  <si>
    <t>交换机</t>
  </si>
  <si>
    <t>交流开关</t>
  </si>
  <si>
    <t>熔断器</t>
  </si>
  <si>
    <t>顶部风机</t>
  </si>
  <si>
    <t>软件升级</t>
  </si>
  <si>
    <t>消防输入输出模块</t>
  </si>
  <si>
    <t>消防备用电源</t>
  </si>
  <si>
    <t>消防主机</t>
  </si>
  <si>
    <t>消防进风</t>
  </si>
  <si>
    <t>消防排风系统</t>
  </si>
  <si>
    <t>MVS</t>
  </si>
  <si>
    <t>LC</t>
  </si>
  <si>
    <t>UPS</t>
  </si>
  <si>
    <t>主回路供电电表</t>
  </si>
  <si>
    <t>辅助供电电表</t>
  </si>
  <si>
    <t>输入输出模块</t>
  </si>
  <si>
    <t>防雷</t>
  </si>
  <si>
    <t>电池箱辅助供电断路器</t>
  </si>
  <si>
    <t>UPS电池</t>
  </si>
  <si>
    <t>供电变压器</t>
  </si>
  <si>
    <t>空调</t>
  </si>
  <si>
    <t>MVS风扇</t>
  </si>
  <si>
    <t>温度继电器</t>
  </si>
  <si>
    <t>自研防雷板</t>
  </si>
  <si>
    <t>主断路器</t>
  </si>
  <si>
    <t>升压变压器</t>
  </si>
  <si>
    <t>8</t>
  </si>
  <si>
    <t>更换4人8小时，交接试验及配合送电1人8小时,国内厂家配合更换</t>
  </si>
  <si>
    <t>环网柜</t>
  </si>
  <si>
    <t>安全上下电</t>
  </si>
  <si>
    <t>16</t>
  </si>
  <si>
    <t>24</t>
  </si>
  <si>
    <t>PT2.0-拓展版/UD</t>
  </si>
  <si>
    <t>开关盒</t>
  </si>
  <si>
    <t>开关盒熔丝</t>
  </si>
  <si>
    <t>开关盒接触器</t>
  </si>
  <si>
    <t>开关盒风扇</t>
  </si>
  <si>
    <t>除湿机</t>
  </si>
  <si>
    <t>轴流风扇</t>
  </si>
  <si>
    <t>考虑设备数量</t>
  </si>
  <si>
    <t>BCP双路防雷板</t>
  </si>
  <si>
    <t>PT100</t>
  </si>
  <si>
    <t>BSP交流接触器</t>
  </si>
  <si>
    <t>交流断路器</t>
  </si>
  <si>
    <t>交流断路器脱扣器</t>
  </si>
  <si>
    <t>维护开关1#Q1,2#Q1,2#Q2,2#Q3</t>
  </si>
  <si>
    <t>PA板</t>
  </si>
  <si>
    <t>PD板</t>
  </si>
  <si>
    <t>交流电流互感器</t>
  </si>
  <si>
    <t>交流防雷板PN2</t>
  </si>
  <si>
    <t>交流防雷板熔丝2#FUSE25/26/27</t>
  </si>
  <si>
    <t>接触器2#KM13(1#KM13)</t>
  </si>
  <si>
    <t>熔丝2#FUSE33/34/38/40/41/42/47/48/49(1#FUSE33/34/38/40/41/42/47/48/49)</t>
  </si>
  <si>
    <t>驱动排线</t>
  </si>
  <si>
    <t>内循环扰流风扇2#6/7/8（1#6/7/8）</t>
  </si>
  <si>
    <t>加热器温控开关1#S3,2#S3</t>
  </si>
  <si>
    <t>驱动板</t>
  </si>
  <si>
    <t>三相模组</t>
  </si>
  <si>
    <t>主风机</t>
  </si>
  <si>
    <t>直流负荷开关</t>
  </si>
  <si>
    <t>门板风机1＃FAN4/2#FAN4</t>
  </si>
  <si>
    <t>交流断路器电动储能机构</t>
  </si>
  <si>
    <t>缓启接触器1＃KM10/11(2#KM10/11)</t>
  </si>
  <si>
    <t>缓启电阻1#R4/5(2#R4/5)</t>
  </si>
  <si>
    <t>接触器1#KM14(2#KM14)</t>
  </si>
  <si>
    <t>熔丝1#FU43/44/45/20/21(2#FU43/44/45/20/21)</t>
  </si>
  <si>
    <t>电源盒</t>
  </si>
  <si>
    <t>电源板</t>
  </si>
  <si>
    <t>放电板</t>
  </si>
  <si>
    <t>FUSE36/37</t>
  </si>
  <si>
    <t>1#FUSE31/32/36/37/46</t>
  </si>
  <si>
    <t>门禁（行程开关）</t>
  </si>
  <si>
    <t>直流熔丝1500V</t>
  </si>
  <si>
    <t>直流防雷1#PN1(2#PN2)</t>
  </si>
  <si>
    <t>直流防雷熔丝1#FUSE23/24(2#FUSE23/24)</t>
  </si>
  <si>
    <t>三相变</t>
  </si>
  <si>
    <t>交流膜电容</t>
  </si>
  <si>
    <t>漏电流传感器</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</si>
</sst>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43">
    <font>
      <sz val="12"/>
      <color theme="1"/>
      <name val="等线"/>
      <charset val="134"/>
      <scheme val="minor"/>
    </font>
    <font>
      <sz val="10"/>
      <name val="等线"/>
      <charset val="134"/>
      <scheme val="minor"/>
    </font>
    <font>
      <b/>
      <sz val="9"/>
      <name val="Microsoft YaHei"/>
      <charset val="134"/>
    </font>
    <font>
      <sz val="8"/>
      <name val="Microsoft YaHei"/>
      <charset val="134"/>
    </font>
    <font>
      <b/>
      <sz val="14"/>
      <name val="等线"/>
      <charset val="134"/>
      <scheme val="minor"/>
    </font>
    <font>
      <b/>
      <sz val="10"/>
      <name val="Arial"/>
      <charset val="134"/>
    </font>
    <font>
      <sz val="10"/>
      <name val="Arial"/>
      <charset val="134"/>
    </font>
    <font>
      <sz val="10"/>
      <color rgb="FFFE0300"/>
      <name val="Arial"/>
      <charset val="134"/>
    </font>
    <font>
      <sz val="10"/>
      <color rgb="FFFE0300"/>
      <name val="等线"/>
      <charset val="134"/>
      <scheme val="minor"/>
    </font>
    <font>
      <sz val="10"/>
      <name val="Arial, sans-serif"/>
      <charset val="134"/>
    </font>
    <font>
      <b/>
      <sz val="12"/>
      <name val="等线"/>
      <charset val="134"/>
      <scheme val="minor"/>
    </font>
    <font>
      <b/>
      <sz val="10"/>
      <name val="等线"/>
      <charset val="134"/>
      <scheme val="minor"/>
    </font>
    <font>
      <sz val="10"/>
      <color theme="1"/>
      <name val="等线"/>
      <charset val="134"/>
      <scheme val="minor"/>
    </font>
    <font>
      <sz val="11"/>
      <name val="等线"/>
      <charset val="134"/>
    </font>
    <font>
      <sz val="9"/>
      <name val="Microsoft YaHei"/>
      <charset val="134"/>
    </font>
    <font>
      <sz val="9"/>
      <name val="等线"/>
      <charset val="134"/>
      <scheme val="minor"/>
    </font>
    <font>
      <sz val="10"/>
      <name val="微软雅黑, sans-serif"/>
      <charset val="134"/>
    </font>
    <font>
      <sz val="10"/>
      <name val="Microsoft YaHei"/>
      <charset val="134"/>
    </font>
    <font>
      <sz val="8"/>
      <name val="等线"/>
      <charset val="134"/>
      <scheme val="minor"/>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
      <sz val="9"/>
      <name val="宋体"/>
      <charset val="134"/>
    </font>
    <font>
      <b/>
      <sz val="10"/>
      <name val="宋体"/>
      <charset val="134"/>
    </font>
    <font>
      <b/>
      <sz val="10"/>
      <color rgb="FFFE0300"/>
      <name val="宋体"/>
      <charset val="134"/>
    </font>
  </fonts>
  <fills count="40">
    <fill>
      <patternFill patternType="none"/>
    </fill>
    <fill>
      <patternFill patternType="gray125"/>
    </fill>
    <fill>
      <patternFill patternType="solid">
        <fgColor rgb="FFFFF2CB"/>
        <bgColor indexed="64"/>
      </patternFill>
    </fill>
    <fill>
      <patternFill patternType="solid">
        <fgColor rgb="FFFEFF00"/>
        <bgColor indexed="64"/>
      </patternFill>
    </fill>
    <fill>
      <patternFill patternType="solid">
        <fgColor rgb="FFF3F3F3"/>
        <bgColor indexed="64"/>
      </patternFill>
    </fill>
    <fill>
      <patternFill patternType="solid">
        <fgColor rgb="FFDAE2F6"/>
        <bgColor indexed="64"/>
      </patternFill>
    </fill>
    <fill>
      <patternFill patternType="solid">
        <fgColor rgb="FFE4EDDB"/>
        <bgColor indexed="64"/>
      </patternFill>
    </fill>
    <fill>
      <patternFill patternType="solid">
        <fgColor rgb="FFFCC102"/>
        <bgColor indexed="64"/>
      </patternFill>
    </fill>
    <fill>
      <patternFill patternType="solid">
        <fgColor rgb="FFD8D8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9" borderId="11"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2" applyNumberFormat="0" applyFill="0" applyAlignment="0" applyProtection="0">
      <alignment vertical="center"/>
    </xf>
    <xf numFmtId="0" fontId="26" fillId="0" borderId="12" applyNumberFormat="0" applyFill="0" applyAlignment="0" applyProtection="0">
      <alignment vertical="center"/>
    </xf>
    <xf numFmtId="0" fontId="27" fillId="0" borderId="13" applyNumberFormat="0" applyFill="0" applyAlignment="0" applyProtection="0">
      <alignment vertical="center"/>
    </xf>
    <xf numFmtId="0" fontId="27" fillId="0" borderId="0" applyNumberFormat="0" applyFill="0" applyBorder="0" applyAlignment="0" applyProtection="0">
      <alignment vertical="center"/>
    </xf>
    <xf numFmtId="0" fontId="28" fillId="10" borderId="14" applyNumberFormat="0" applyAlignment="0" applyProtection="0">
      <alignment vertical="center"/>
    </xf>
    <xf numFmtId="0" fontId="29" fillId="11" borderId="15" applyNumberFormat="0" applyAlignment="0" applyProtection="0">
      <alignment vertical="center"/>
    </xf>
    <xf numFmtId="0" fontId="30" fillId="11" borderId="14" applyNumberFormat="0" applyAlignment="0" applyProtection="0">
      <alignment vertical="center"/>
    </xf>
    <xf numFmtId="0" fontId="31" fillId="12" borderId="16" applyNumberFormat="0" applyAlignment="0" applyProtection="0">
      <alignment vertical="center"/>
    </xf>
    <xf numFmtId="0" fontId="32" fillId="0" borderId="17" applyNumberFormat="0" applyFill="0" applyAlignment="0" applyProtection="0">
      <alignment vertical="center"/>
    </xf>
    <xf numFmtId="0" fontId="33" fillId="0" borderId="18" applyNumberFormat="0" applyFill="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37" fillId="39" borderId="0" applyNumberFormat="0" applyBorder="0" applyAlignment="0" applyProtection="0">
      <alignment vertical="center"/>
    </xf>
  </cellStyleXfs>
  <cellXfs count="121">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pplyProtection="1">
      <alignment horizontal="left" vertical="center"/>
    </xf>
    <xf numFmtId="0" fontId="1" fillId="0" borderId="1" xfId="0" applyFont="1" applyBorder="1" applyProtection="1">
      <alignment vertical="center"/>
    </xf>
    <xf numFmtId="0" fontId="5" fillId="2" borderId="2" xfId="0" applyFont="1" applyFill="1" applyBorder="1" applyAlignment="1" applyProtection="1">
      <alignment horizontal="center" vertical="center" wrapText="1"/>
    </xf>
    <xf numFmtId="0" fontId="5" fillId="2" borderId="2" xfId="0" applyFont="1" applyFill="1" applyBorder="1" applyAlignment="1" applyProtection="1">
      <alignment horizontal="center" vertical="center"/>
    </xf>
    <xf numFmtId="0" fontId="5" fillId="2" borderId="3" xfId="0" applyFont="1" applyFill="1" applyBorder="1" applyAlignment="1" applyProtection="1">
      <alignment horizontal="center" vertical="center" wrapText="1"/>
    </xf>
    <xf numFmtId="0" fontId="1" fillId="0" borderId="1" xfId="0" applyFont="1" applyBorder="1" applyAlignment="1" applyProtection="1">
      <alignment horizontal="center" vertical="center" wrapText="1"/>
    </xf>
    <xf numFmtId="0" fontId="1" fillId="0" borderId="4" xfId="0" applyFont="1" applyBorder="1" applyAlignment="1" applyProtection="1">
      <alignment horizontal="center" vertical="center" wrapText="1"/>
    </xf>
    <xf numFmtId="49" fontId="6" fillId="0" borderId="5" xfId="0" applyNumberFormat="1" applyFont="1" applyBorder="1" applyAlignment="1" applyProtection="1">
      <alignment horizontal="left" vertical="center"/>
    </xf>
    <xf numFmtId="49" fontId="6" fillId="0" borderId="5" xfId="0" applyNumberFormat="1" applyFont="1" applyBorder="1" applyAlignment="1" applyProtection="1">
      <alignment horizontal="center" vertical="center"/>
    </xf>
    <xf numFmtId="49" fontId="6" fillId="3" borderId="5" xfId="0" applyNumberFormat="1" applyFont="1" applyFill="1" applyBorder="1" applyAlignment="1" applyProtection="1">
      <alignment horizontal="center" vertical="center"/>
    </xf>
    <xf numFmtId="49" fontId="6" fillId="0" borderId="6" xfId="0" applyNumberFormat="1" applyFont="1" applyBorder="1" applyAlignment="1" applyProtection="1">
      <alignment horizontal="left" vertical="center"/>
    </xf>
    <xf numFmtId="2" fontId="1" fillId="0" borderId="1" xfId="0" applyNumberFormat="1" applyFont="1" applyBorder="1" applyAlignment="1" applyProtection="1">
      <alignment horizontal="center" vertical="center"/>
    </xf>
    <xf numFmtId="2" fontId="1" fillId="0" borderId="4" xfId="0" applyNumberFormat="1" applyFont="1" applyBorder="1" applyAlignment="1" applyProtection="1">
      <alignment horizontal="center" vertical="center"/>
    </xf>
    <xf numFmtId="0" fontId="6" fillId="0" borderId="6" xfId="0" applyFont="1" applyBorder="1" applyAlignment="1" applyProtection="1">
      <alignment horizontal="left" vertical="center"/>
    </xf>
    <xf numFmtId="49" fontId="6" fillId="0" borderId="1" xfId="0" applyNumberFormat="1" applyFont="1" applyBorder="1" applyAlignment="1" applyProtection="1">
      <alignment horizontal="left" vertical="center"/>
    </xf>
    <xf numFmtId="49" fontId="6" fillId="0" borderId="1" xfId="0" applyNumberFormat="1" applyFont="1" applyBorder="1" applyAlignment="1" applyProtection="1">
      <alignment horizontal="center" vertical="center"/>
    </xf>
    <xf numFmtId="0" fontId="6" fillId="0" borderId="1" xfId="0" applyFont="1" applyBorder="1" applyProtection="1">
      <alignment vertical="center"/>
    </xf>
    <xf numFmtId="0" fontId="6" fillId="0" borderId="4" xfId="0" applyFont="1" applyBorder="1" applyAlignment="1" applyProtection="1">
      <alignment horizontal="left" vertical="center"/>
    </xf>
    <xf numFmtId="49" fontId="7" fillId="0" borderId="1" xfId="0" applyNumberFormat="1" applyFont="1" applyBorder="1" applyAlignment="1" applyProtection="1">
      <alignment horizontal="left" vertical="center"/>
    </xf>
    <xf numFmtId="49" fontId="7" fillId="0" borderId="1" xfId="0" applyNumberFormat="1" applyFont="1" applyBorder="1" applyAlignment="1" applyProtection="1">
      <alignment horizontal="center" vertical="center"/>
    </xf>
    <xf numFmtId="0" fontId="7" fillId="0" borderId="1" xfId="0" applyFont="1" applyBorder="1" applyProtection="1">
      <alignment vertical="center"/>
    </xf>
    <xf numFmtId="49" fontId="7" fillId="3" borderId="5" xfId="0" applyNumberFormat="1" applyFont="1" applyFill="1" applyBorder="1" applyAlignment="1" applyProtection="1">
      <alignment horizontal="center" vertical="center"/>
    </xf>
    <xf numFmtId="0" fontId="7" fillId="0" borderId="6" xfId="0" applyFont="1" applyBorder="1" applyAlignment="1" applyProtection="1">
      <alignment horizontal="left" vertical="center"/>
    </xf>
    <xf numFmtId="2" fontId="8" fillId="0" borderId="1" xfId="0" applyNumberFormat="1" applyFont="1" applyBorder="1" applyAlignment="1" applyProtection="1">
      <alignment horizontal="center" vertical="center"/>
    </xf>
    <xf numFmtId="2" fontId="8" fillId="0" borderId="4" xfId="0" applyNumberFormat="1" applyFont="1" applyBorder="1" applyAlignment="1" applyProtection="1">
      <alignment horizontal="center" vertical="center"/>
    </xf>
    <xf numFmtId="0" fontId="7" fillId="0" borderId="4" xfId="0" applyFont="1" applyBorder="1" applyAlignment="1" applyProtection="1">
      <alignment horizontal="left" vertical="center"/>
    </xf>
    <xf numFmtId="0" fontId="9" fillId="0" borderId="4" xfId="0" applyFont="1" applyBorder="1" applyAlignment="1" applyProtection="1">
      <alignment horizontal="left" vertical="center"/>
    </xf>
    <xf numFmtId="0" fontId="9" fillId="0" borderId="7" xfId="0" applyFont="1" applyBorder="1" applyAlignment="1" applyProtection="1">
      <alignment horizontal="left" vertical="center"/>
    </xf>
    <xf numFmtId="0" fontId="1" fillId="0" borderId="0" xfId="0" applyFont="1" applyAlignment="1">
      <alignment horizontal="left" vertical="center"/>
    </xf>
    <xf numFmtId="0" fontId="10" fillId="0" borderId="0" xfId="0" applyFont="1" applyAlignment="1">
      <alignment horizontal="center" vertical="center"/>
    </xf>
    <xf numFmtId="0" fontId="11" fillId="4" borderId="1" xfId="0" applyFont="1" applyFill="1" applyBorder="1" applyAlignment="1" applyProtection="1">
      <alignment horizontal="center" vertical="center"/>
    </xf>
    <xf numFmtId="0" fontId="11" fillId="4" borderId="4" xfId="0" applyFont="1" applyFill="1" applyBorder="1" applyAlignment="1" applyProtection="1">
      <alignment horizontal="center" vertical="center"/>
    </xf>
    <xf numFmtId="0" fontId="1" fillId="0" borderId="2" xfId="0" applyFont="1" applyBorder="1" applyAlignment="1" applyProtection="1">
      <alignment horizontal="center" vertical="center"/>
    </xf>
    <xf numFmtId="0" fontId="11" fillId="5" borderId="8"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xf>
    <xf numFmtId="0" fontId="11" fillId="5" borderId="1" xfId="0" applyFont="1" applyFill="1" applyBorder="1" applyAlignment="1" applyProtection="1">
      <alignment horizontal="center" vertical="center" wrapText="1"/>
    </xf>
    <xf numFmtId="0" fontId="11" fillId="6" borderId="1" xfId="0" applyFont="1" applyFill="1" applyBorder="1" applyAlignment="1" applyProtection="1">
      <alignment horizontal="center" vertical="center"/>
    </xf>
    <xf numFmtId="0" fontId="1" fillId="0" borderId="3" xfId="0" applyFont="1" applyBorder="1" applyProtection="1">
      <alignment vertical="center"/>
    </xf>
    <xf numFmtId="0" fontId="1" fillId="0" borderId="2" xfId="0" applyFont="1" applyBorder="1" applyProtection="1">
      <alignment vertical="center"/>
    </xf>
    <xf numFmtId="0" fontId="1" fillId="5" borderId="9" xfId="0" applyFont="1" applyFill="1" applyBorder="1" applyProtection="1">
      <alignment vertical="center"/>
    </xf>
    <xf numFmtId="0" fontId="1" fillId="5" borderId="9" xfId="0" applyFont="1" applyFill="1" applyBorder="1" applyAlignment="1" applyProtection="1">
      <alignment horizontal="center" vertical="center"/>
    </xf>
    <xf numFmtId="0" fontId="11" fillId="4" borderId="8" xfId="0" applyFont="1" applyFill="1" applyBorder="1" applyAlignment="1" applyProtection="1">
      <alignment horizontal="center" vertical="center"/>
    </xf>
    <xf numFmtId="0" fontId="1" fillId="0" borderId="1" xfId="0" applyFont="1" applyBorder="1" applyAlignment="1" applyProtection="1">
      <alignment horizontal="center" vertical="center"/>
    </xf>
    <xf numFmtId="0" fontId="1" fillId="0" borderId="1" xfId="0" applyFont="1" applyBorder="1" applyAlignment="1" applyProtection="1">
      <alignment horizontal="left" vertical="center"/>
    </xf>
    <xf numFmtId="176" fontId="1" fillId="0" borderId="1" xfId="0" applyNumberFormat="1" applyFont="1" applyBorder="1" applyAlignment="1" applyProtection="1">
      <alignment horizontal="center" vertical="center"/>
    </xf>
    <xf numFmtId="2" fontId="1" fillId="0" borderId="1" xfId="0" applyNumberFormat="1" applyFont="1" applyBorder="1" applyProtection="1">
      <alignment vertical="center"/>
    </xf>
    <xf numFmtId="0" fontId="1" fillId="0" borderId="8" xfId="0" applyFont="1" applyBorder="1" applyAlignment="1" applyProtection="1">
      <alignment horizontal="center" vertical="center"/>
    </xf>
    <xf numFmtId="2" fontId="1" fillId="0" borderId="8" xfId="0" applyNumberFormat="1" applyFont="1" applyBorder="1" applyAlignment="1" applyProtection="1">
      <alignment horizontal="center" vertical="center"/>
    </xf>
    <xf numFmtId="0" fontId="8" fillId="0" borderId="1" xfId="0" applyFont="1" applyBorder="1" applyProtection="1">
      <alignment vertical="center"/>
    </xf>
    <xf numFmtId="0" fontId="1" fillId="7" borderId="1" xfId="0" applyFont="1" applyFill="1" applyBorder="1" applyAlignment="1" applyProtection="1">
      <alignment horizontal="center" vertical="center"/>
    </xf>
    <xf numFmtId="176" fontId="1" fillId="0" borderId="4" xfId="0" applyNumberFormat="1" applyFont="1" applyBorder="1" applyAlignment="1" applyProtection="1">
      <alignment horizontal="center" vertical="center"/>
    </xf>
    <xf numFmtId="2" fontId="1" fillId="0" borderId="2" xfId="0" applyNumberFormat="1" applyFont="1" applyBorder="1" applyAlignment="1" applyProtection="1">
      <alignment horizontal="center" vertical="center"/>
    </xf>
    <xf numFmtId="0" fontId="1" fillId="7" borderId="1" xfId="0" applyFont="1" applyFill="1" applyBorder="1" applyProtection="1">
      <alignment vertical="center"/>
    </xf>
    <xf numFmtId="0" fontId="1" fillId="0" borderId="9" xfId="0" applyFont="1" applyBorder="1" applyAlignment="1" applyProtection="1">
      <alignment horizontal="center" vertical="center"/>
    </xf>
    <xf numFmtId="2" fontId="1" fillId="0" borderId="9" xfId="0" applyNumberFormat="1" applyFont="1" applyBorder="1" applyAlignment="1" applyProtection="1">
      <alignment horizontal="center" vertical="center"/>
    </xf>
    <xf numFmtId="2" fontId="1" fillId="0" borderId="0" xfId="0" applyNumberFormat="1" applyFont="1">
      <alignment vertical="center"/>
    </xf>
    <xf numFmtId="176" fontId="1" fillId="7" borderId="1" xfId="0" applyNumberFormat="1" applyFont="1" applyFill="1" applyBorder="1" applyAlignment="1" applyProtection="1">
      <alignment horizontal="center" vertical="center"/>
    </xf>
    <xf numFmtId="0" fontId="1" fillId="0" borderId="1" xfId="0" applyFont="1" applyBorder="1" applyAlignment="1" applyProtection="1">
      <alignment horizontal="left" vertical="center" wrapText="1"/>
    </xf>
    <xf numFmtId="176" fontId="8" fillId="0" borderId="1" xfId="0" applyNumberFormat="1" applyFont="1" applyBorder="1" applyAlignment="1" applyProtection="1">
      <alignment horizontal="center" vertical="center"/>
    </xf>
    <xf numFmtId="0" fontId="8" fillId="0" borderId="1" xfId="0" applyFont="1" applyBorder="1" applyAlignment="1" applyProtection="1">
      <alignment vertical="center" wrapText="1"/>
    </xf>
    <xf numFmtId="0" fontId="12" fillId="0" borderId="0" xfId="0" applyFont="1">
      <alignment vertical="center"/>
    </xf>
    <xf numFmtId="0" fontId="1" fillId="0" borderId="0" xfId="0" applyFont="1">
      <alignment vertical="center"/>
    </xf>
    <xf numFmtId="0" fontId="4" fillId="0" borderId="0" xfId="0" applyFont="1" applyAlignment="1">
      <alignment horizontal="left" vertical="center"/>
    </xf>
    <xf numFmtId="0" fontId="11" fillId="0" borderId="0" xfId="0" applyFont="1">
      <alignment vertical="center"/>
    </xf>
    <xf numFmtId="0" fontId="11" fillId="8" borderId="1" xfId="0" applyFont="1" applyFill="1" applyBorder="1" applyAlignment="1" applyProtection="1">
      <alignment horizontal="left" vertical="center"/>
    </xf>
    <xf numFmtId="0" fontId="11" fillId="8" borderId="1" xfId="0" applyFont="1" applyFill="1" applyBorder="1" applyProtection="1">
      <alignment vertical="center"/>
    </xf>
    <xf numFmtId="0" fontId="13" fillId="0" borderId="1" xfId="0" applyFont="1" applyBorder="1" applyAlignment="1" applyProtection="1">
      <alignment horizontal="center" wrapText="1"/>
    </xf>
    <xf numFmtId="0" fontId="13" fillId="0" borderId="4" xfId="0" applyFont="1" applyBorder="1" applyAlignment="1" applyProtection="1">
      <alignment horizontal="center" wrapText="1"/>
    </xf>
    <xf numFmtId="0" fontId="1" fillId="0" borderId="9" xfId="0" applyFont="1" applyBorder="1" applyAlignment="1" applyProtection="1">
      <alignment horizontal="left" vertical="center"/>
    </xf>
    <xf numFmtId="0" fontId="1" fillId="0" borderId="9" xfId="0" applyFont="1" applyBorder="1" applyProtection="1">
      <alignment vertical="center"/>
    </xf>
    <xf numFmtId="0" fontId="13" fillId="0" borderId="4" xfId="0" applyFont="1" applyBorder="1" applyAlignment="1" applyProtection="1">
      <alignment horizontal="center" vertical="center" wrapText="1"/>
    </xf>
    <xf numFmtId="0" fontId="14" fillId="0" borderId="1" xfId="0" applyFont="1" applyBorder="1" applyAlignment="1" applyProtection="1">
      <alignment horizontal="left" vertical="center" wrapText="1"/>
    </xf>
    <xf numFmtId="0" fontId="14" fillId="0" borderId="1" xfId="0" applyFont="1" applyBorder="1" applyAlignment="1" applyProtection="1">
      <alignment horizontal="left" vertical="center"/>
    </xf>
    <xf numFmtId="0" fontId="13" fillId="0" borderId="1" xfId="0" applyFont="1" applyBorder="1" applyAlignment="1" applyProtection="1">
      <alignment horizontal="center" vertical="center" wrapText="1"/>
    </xf>
    <xf numFmtId="0" fontId="13" fillId="0" borderId="1" xfId="0" applyFont="1" applyBorder="1" applyAlignment="1" applyProtection="1">
      <alignment horizontal="center"/>
    </xf>
    <xf numFmtId="0" fontId="1" fillId="0" borderId="8" xfId="0" applyFont="1" applyBorder="1" applyAlignment="1" applyProtection="1">
      <alignment horizontal="left" vertical="center"/>
    </xf>
    <xf numFmtId="0" fontId="1" fillId="0" borderId="0" xfId="0" applyFont="1" applyAlignment="1">
      <alignment horizontal="right" vertical="center"/>
    </xf>
    <xf numFmtId="0" fontId="15" fillId="0" borderId="0" xfId="0" applyFont="1" applyAlignment="1">
      <alignment horizontal="right" vertical="center"/>
    </xf>
    <xf numFmtId="4" fontId="1" fillId="0" borderId="0" xfId="0" applyNumberFormat="1" applyFont="1" applyAlignment="1">
      <alignment horizontal="center" vertical="center"/>
    </xf>
    <xf numFmtId="0" fontId="2" fillId="0" borderId="8" xfId="0" applyFont="1" applyBorder="1" applyAlignment="1" applyProtection="1">
      <alignment horizontal="center" vertical="center"/>
    </xf>
    <xf numFmtId="0" fontId="10" fillId="0" borderId="2" xfId="0" applyFont="1" applyBorder="1" applyAlignment="1" applyProtection="1">
      <alignment horizontal="center" vertical="center"/>
    </xf>
    <xf numFmtId="0" fontId="16" fillId="0" borderId="1" xfId="0" applyFont="1" applyBorder="1" applyAlignment="1" applyProtection="1">
      <alignment horizontal="left" vertical="center"/>
    </xf>
    <xf numFmtId="0" fontId="17" fillId="0" borderId="1" xfId="0" applyFont="1" applyBorder="1" applyAlignment="1" applyProtection="1">
      <alignment horizontal="center" vertical="center"/>
    </xf>
    <xf numFmtId="0" fontId="17" fillId="0" borderId="1" xfId="0" applyFont="1" applyBorder="1" applyAlignment="1" applyProtection="1">
      <alignment horizontal="left" vertical="center"/>
    </xf>
    <xf numFmtId="0" fontId="1" fillId="0" borderId="10" xfId="0" applyFont="1" applyBorder="1" applyProtection="1">
      <alignment vertical="center"/>
    </xf>
    <xf numFmtId="0" fontId="16" fillId="0" borderId="1" xfId="0" applyFont="1" applyBorder="1" applyAlignment="1" applyProtection="1">
      <alignment horizontal="left" vertical="center" wrapText="1"/>
    </xf>
    <xf numFmtId="4" fontId="17" fillId="0" borderId="1" xfId="0" applyNumberFormat="1" applyFont="1" applyBorder="1" applyAlignment="1" applyProtection="1">
      <alignment horizontal="center" vertical="center"/>
    </xf>
    <xf numFmtId="0" fontId="3" fillId="0" borderId="9" xfId="0" applyFont="1" applyBorder="1" applyAlignment="1" applyProtection="1">
      <alignment horizontal="center" vertical="center"/>
    </xf>
    <xf numFmtId="14" fontId="17" fillId="0" borderId="1" xfId="0" applyNumberFormat="1" applyFont="1" applyBorder="1" applyAlignment="1" applyProtection="1">
      <alignment horizontal="center" vertical="center"/>
    </xf>
    <xf numFmtId="0" fontId="18" fillId="4" borderId="7" xfId="0" applyFont="1" applyFill="1" applyBorder="1" applyAlignment="1" applyProtection="1">
      <alignment horizontal="left" vertical="center"/>
    </xf>
    <xf numFmtId="0" fontId="18" fillId="0" borderId="3" xfId="0" applyFont="1" applyBorder="1" applyAlignment="1" applyProtection="1">
      <alignment horizontal="left" vertical="center"/>
    </xf>
    <xf numFmtId="0" fontId="18" fillId="0" borderId="2" xfId="0" applyFont="1" applyBorder="1" applyAlignment="1" applyProtection="1">
      <alignment horizontal="left" vertical="center"/>
    </xf>
    <xf numFmtId="0" fontId="11" fillId="4" borderId="1" xfId="0" applyFont="1" applyFill="1" applyBorder="1" applyAlignment="1" applyProtection="1">
      <alignment horizontal="left" vertical="center"/>
    </xf>
    <xf numFmtId="4" fontId="11" fillId="4" borderId="1" xfId="0" applyNumberFormat="1" applyFont="1" applyFill="1" applyBorder="1" applyAlignment="1" applyProtection="1">
      <alignment horizontal="center" vertical="center"/>
    </xf>
    <xf numFmtId="4" fontId="1" fillId="0" borderId="1" xfId="0" applyNumberFormat="1" applyFont="1" applyBorder="1" applyAlignment="1" applyProtection="1">
      <alignment horizontal="center" vertical="center"/>
    </xf>
    <xf numFmtId="0" fontId="1" fillId="4" borderId="1" xfId="0" applyFont="1" applyFill="1" applyBorder="1" applyAlignment="1" applyProtection="1">
      <alignment horizontal="center" vertical="center"/>
    </xf>
    <xf numFmtId="0" fontId="1" fillId="4" borderId="1" xfId="0" applyFont="1" applyFill="1" applyBorder="1" applyAlignment="1" applyProtection="1">
      <alignment horizontal="left" vertical="center"/>
    </xf>
    <xf numFmtId="4" fontId="1" fillId="4" borderId="1" xfId="0" applyNumberFormat="1" applyFont="1" applyFill="1" applyBorder="1" applyAlignment="1" applyProtection="1">
      <alignment horizontal="center" vertical="center"/>
    </xf>
    <xf numFmtId="0" fontId="1" fillId="4" borderId="1" xfId="0" applyFont="1" applyFill="1" applyBorder="1" applyProtection="1">
      <alignment vertical="center"/>
    </xf>
    <xf numFmtId="0" fontId="1" fillId="0" borderId="1" xfId="0" applyFont="1" applyBorder="1" applyAlignment="1" applyProtection="1">
      <alignment horizontal="right" vertical="center"/>
    </xf>
    <xf numFmtId="4" fontId="1" fillId="0" borderId="1" xfId="0" applyNumberFormat="1" applyFont="1" applyBorder="1" applyAlignment="1" applyProtection="1">
      <alignment horizontal="right" vertical="center"/>
    </xf>
    <xf numFmtId="4" fontId="1" fillId="4" borderId="1" xfId="0" applyNumberFormat="1" applyFont="1" applyFill="1" applyBorder="1" applyProtection="1">
      <alignment vertical="center"/>
    </xf>
    <xf numFmtId="49" fontId="1" fillId="0" borderId="1" xfId="0" applyNumberFormat="1" applyFont="1" applyBorder="1" applyAlignment="1" applyProtection="1">
      <alignment horizontal="right" vertical="center"/>
    </xf>
    <xf numFmtId="4" fontId="1" fillId="0" borderId="0" xfId="0" applyNumberFormat="1" applyFont="1" applyAlignment="1">
      <alignment horizontal="right" vertical="center"/>
    </xf>
    <xf numFmtId="4" fontId="14" fillId="0" borderId="1" xfId="0" applyNumberFormat="1" applyFont="1" applyBorder="1" applyProtection="1">
      <alignment vertical="center"/>
    </xf>
    <xf numFmtId="49" fontId="1" fillId="0" borderId="1" xfId="0" applyNumberFormat="1" applyFont="1" applyBorder="1" applyAlignment="1" applyProtection="1">
      <alignment horizontal="center" vertical="center"/>
    </xf>
    <xf numFmtId="4" fontId="1" fillId="0" borderId="0" xfId="0" applyNumberFormat="1" applyFont="1">
      <alignment vertical="center"/>
    </xf>
    <xf numFmtId="0" fontId="15" fillId="0" borderId="1" xfId="0" applyFont="1" applyBorder="1" applyAlignment="1" applyProtection="1">
      <alignment horizontal="right" vertical="center"/>
    </xf>
    <xf numFmtId="0" fontId="15" fillId="0" borderId="1" xfId="0" applyFont="1" applyBorder="1" applyAlignment="1" applyProtection="1">
      <alignment horizontal="left" vertical="center"/>
    </xf>
    <xf numFmtId="4" fontId="15" fillId="0" borderId="1" xfId="0" applyNumberFormat="1" applyFont="1" applyBorder="1" applyAlignment="1" applyProtection="1">
      <alignment horizontal="right" vertical="center"/>
    </xf>
    <xf numFmtId="0" fontId="15" fillId="0" borderId="1" xfId="0" applyFont="1" applyBorder="1" applyAlignment="1" applyProtection="1">
      <alignment horizontal="left" vertical="center" wrapText="1"/>
    </xf>
    <xf numFmtId="49" fontId="1" fillId="4" borderId="1" xfId="0" applyNumberFormat="1" applyFont="1" applyFill="1" applyBorder="1" applyAlignment="1" applyProtection="1">
      <alignment horizontal="right" vertical="center"/>
    </xf>
    <xf numFmtId="0" fontId="1" fillId="4" borderId="1" xfId="0" applyFont="1" applyFill="1" applyBorder="1" applyAlignment="1" applyProtection="1">
      <alignment horizontal="left" vertical="center" wrapText="1"/>
    </xf>
    <xf numFmtId="0" fontId="1" fillId="0" borderId="7" xfId="0" applyFont="1" applyBorder="1" applyAlignment="1" applyProtection="1">
      <alignment horizontal="center" vertical="center"/>
    </xf>
    <xf numFmtId="4" fontId="1" fillId="0" borderId="9" xfId="0" applyNumberFormat="1" applyFont="1" applyBorder="1" applyAlignment="1" applyProtection="1">
      <alignment horizontal="center" vertical="center"/>
    </xf>
    <xf numFmtId="0" fontId="1" fillId="0" borderId="5" xfId="0" applyFont="1" applyBorder="1" applyProtection="1">
      <alignment vertical="center"/>
    </xf>
    <xf numFmtId="0" fontId="1" fillId="0" borderId="4" xfId="0" applyFont="1" applyBorder="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38100</xdr:colOff>
      <xdr:row>1</xdr:row>
      <xdr:rowOff>161925</xdr:rowOff>
    </xdr:from>
    <xdr:ext cx="482600" cy="95250"/>
    <xdr:pic>
      <xdr:nvPicPr>
        <xdr:cNvPr id="2" name="图片 1"/>
        <xdr:cNvPicPr/>
      </xdr:nvPicPr>
      <xdr:blipFill>
        <a:blip r:embed="rId1"/>
        <a:stretch>
          <a:fillRect/>
        </a:stretch>
      </xdr:blipFill>
      <xdr:spPr>
        <a:xfrm>
          <a:off x="172085" y="371475"/>
          <a:ext cx="482600" cy="9525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38100</xdr:colOff>
      <xdr:row>0</xdr:row>
      <xdr:rowOff>47625</xdr:rowOff>
    </xdr:from>
    <xdr:ext cx="482600" cy="95250"/>
    <xdr:pic>
      <xdr:nvPicPr>
        <xdr:cNvPr id="2" name="图片 1"/>
        <xdr:cNvPicPr/>
      </xdr:nvPicPr>
      <xdr:blipFill>
        <a:blip r:embed="rId1"/>
        <a:stretch>
          <a:fillRect/>
        </a:stretch>
      </xdr:blipFill>
      <xdr:spPr>
        <a:xfrm>
          <a:off x="275590" y="47625"/>
          <a:ext cx="482600" cy="9525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38100</xdr:colOff>
      <xdr:row>0</xdr:row>
      <xdr:rowOff>0</xdr:rowOff>
    </xdr:from>
    <xdr:ext cx="1041400" cy="209550"/>
    <xdr:pic>
      <xdr:nvPicPr>
        <xdr:cNvPr id="2" name="图片 1"/>
        <xdr:cNvPicPr/>
      </xdr:nvPicPr>
      <xdr:blipFill>
        <a:blip r:embed="rId1"/>
        <a:stretch>
          <a:fillRect/>
        </a:stretch>
      </xdr:blipFill>
      <xdr:spPr>
        <a:xfrm>
          <a:off x="368300" y="0"/>
          <a:ext cx="1041400" cy="20955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P489"/>
  <sheetViews>
    <sheetView showGridLines="0" workbookViewId="0">
      <pane xSplit="1" ySplit="7" topLeftCell="B8" activePane="bottomRight" state="frozen"/>
      <selection/>
      <selection pane="topRight"/>
      <selection pane="bottomLeft"/>
      <selection pane="bottomRight" activeCell="A1" sqref="A1"/>
    </sheetView>
  </sheetViews>
  <sheetFormatPr defaultColWidth="10" defaultRowHeight="16.5" customHeight="1"/>
  <cols>
    <col min="1" max="1" width="1.62307692307692" customWidth="1"/>
    <col min="2" max="2" width="7.37692307692308"/>
    <col min="3" max="3" width="13.5384615384615" customWidth="1"/>
    <col min="4" max="4" width="13.5384615384615" style="32" customWidth="1"/>
    <col min="5" max="5" width="14.5384615384615" style="32" customWidth="1"/>
    <col min="6" max="6" width="14.1307692307692" style="32" customWidth="1"/>
    <col min="7" max="7" width="27" style="32" customWidth="1"/>
    <col min="8" max="8" width="29.9" style="32" customWidth="1"/>
    <col min="9" max="9" width="8.74615384615385" customWidth="1"/>
    <col min="10" max="10" width="7.12307692307692" customWidth="1"/>
    <col min="11" max="11" width="9" style="82" customWidth="1"/>
    <col min="12" max="12" width="10.5" style="1" customWidth="1"/>
    <col min="13" max="13" width="12" style="1" customWidth="1"/>
    <col min="14" max="15" width="11.6230769230769" style="1" customWidth="1"/>
    <col min="16" max="16" width="25.7461538461538" style="65" customWidth="1"/>
  </cols>
  <sheetData>
    <row r="1" customHeight="1" spans="2:16">
      <c r="B1" s="2"/>
      <c r="C1" s="1"/>
      <c r="I1" s="1"/>
      <c r="J1" s="1"/>
    </row>
    <row r="2" s="1" customFormat="1" ht="18" customHeight="1" spans="2:16">
      <c r="B2" s="83"/>
      <c r="C2" s="84" t="s">
        <v>0</v>
      </c>
      <c r="D2" s="5"/>
      <c r="E2" s="5"/>
      <c r="F2" s="5"/>
      <c r="G2" s="5"/>
      <c r="H2" s="5"/>
      <c r="I2" s="5"/>
      <c r="J2" s="5"/>
      <c r="K2" s="5"/>
      <c r="L2" s="5"/>
      <c r="M2" s="85" t="s">
        <v>1</v>
      </c>
      <c r="N2" s="86" t="s">
        <v>2</v>
      </c>
      <c r="O2" s="87" t="s">
        <v>3</v>
      </c>
      <c r="P2" s="86" t="s">
        <v>4</v>
      </c>
    </row>
    <row r="3" s="1" customFormat="1" customHeight="1" spans="2:16">
      <c r="B3" s="88"/>
      <c r="C3" s="42"/>
      <c r="D3" s="5"/>
      <c r="E3" s="5"/>
      <c r="F3" s="5"/>
      <c r="G3" s="5"/>
      <c r="H3" s="5"/>
      <c r="I3" s="5"/>
      <c r="J3" s="5"/>
      <c r="K3" s="5"/>
      <c r="L3" s="5"/>
      <c r="M3" s="89" t="s">
        <v>5</v>
      </c>
      <c r="N3" s="90" t="s">
        <v>6</v>
      </c>
      <c r="O3" s="85" t="s">
        <v>7</v>
      </c>
      <c r="P3" s="87" t="s">
        <v>8</v>
      </c>
    </row>
    <row r="4" s="1" customFormat="1" customHeight="1" spans="2:16">
      <c r="B4" s="91" t="s">
        <v>9</v>
      </c>
      <c r="C4" s="42"/>
      <c r="D4" s="5"/>
      <c r="E4" s="5"/>
      <c r="F4" s="5"/>
      <c r="G4" s="5"/>
      <c r="H4" s="5"/>
      <c r="I4" s="5"/>
      <c r="J4" s="5"/>
      <c r="K4" s="5"/>
      <c r="L4" s="5"/>
      <c r="M4" s="85" t="s">
        <v>10</v>
      </c>
      <c r="N4" s="90" t="s">
        <v>11</v>
      </c>
      <c r="O4" s="87" t="s">
        <v>12</v>
      </c>
      <c r="P4" s="92"/>
    </row>
    <row r="5" s="1" customFormat="1" customHeight="1" spans="2:16">
      <c r="B5" s="93" t="s">
        <v>13</v>
      </c>
      <c r="C5" s="94"/>
      <c r="D5" s="94"/>
      <c r="E5" s="94"/>
      <c r="F5" s="94"/>
      <c r="G5" s="94"/>
      <c r="H5" s="94"/>
      <c r="I5" s="94"/>
      <c r="J5" s="94"/>
      <c r="K5" s="94"/>
      <c r="L5" s="94"/>
      <c r="M5" s="94"/>
      <c r="N5" s="94"/>
      <c r="O5" s="94"/>
      <c r="P5" s="95"/>
    </row>
    <row r="6" s="1" customFormat="1" customHeight="1" spans="2:16">
      <c r="B6" s="34" t="s">
        <v>14</v>
      </c>
      <c r="C6" s="34" t="s">
        <v>15</v>
      </c>
      <c r="D6" s="96" t="s">
        <v>16</v>
      </c>
      <c r="E6" s="96" t="s">
        <v>17</v>
      </c>
      <c r="F6" s="34" t="s">
        <v>18</v>
      </c>
      <c r="G6" s="96" t="s">
        <v>19</v>
      </c>
      <c r="H6" s="96" t="s">
        <v>20</v>
      </c>
      <c r="I6" s="34" t="s">
        <v>21</v>
      </c>
      <c r="J6" s="34" t="s">
        <v>22</v>
      </c>
      <c r="K6" s="97" t="s">
        <v>23</v>
      </c>
      <c r="L6" s="34"/>
      <c r="M6" s="34"/>
      <c r="N6" s="34"/>
      <c r="O6" s="34"/>
      <c r="P6" s="34" t="s">
        <v>24</v>
      </c>
    </row>
    <row r="7" s="1" customFormat="1" customHeight="1" spans="2:16">
      <c r="B7" s="34"/>
      <c r="C7" s="34"/>
      <c r="D7" s="96"/>
      <c r="E7" s="96"/>
      <c r="F7" s="34"/>
      <c r="G7" s="96"/>
      <c r="H7" s="96"/>
      <c r="I7" s="34"/>
      <c r="J7" s="34"/>
      <c r="K7" s="97" t="s">
        <v>25</v>
      </c>
      <c r="L7" s="34" t="s">
        <v>26</v>
      </c>
      <c r="M7" s="34" t="s">
        <v>27</v>
      </c>
      <c r="N7" s="34" t="s">
        <v>28</v>
      </c>
      <c r="O7" s="34" t="s">
        <v>29</v>
      </c>
      <c r="P7" s="34"/>
    </row>
    <row r="8" ht="18" customHeight="1" spans="2:16">
      <c r="B8" s="46">
        <v>1</v>
      </c>
      <c r="C8" s="47" t="s">
        <v>30</v>
      </c>
      <c r="D8" s="47" t="s">
        <v>30</v>
      </c>
      <c r="E8" s="47"/>
      <c r="F8" s="47"/>
      <c r="G8" s="47" t="s">
        <v>31</v>
      </c>
      <c r="H8" s="47" t="s">
        <v>32</v>
      </c>
      <c r="I8" s="46" t="s">
        <v>33</v>
      </c>
      <c r="J8" s="46">
        <v>1</v>
      </c>
      <c r="K8" s="98"/>
      <c r="L8" s="46"/>
      <c r="M8" s="46"/>
      <c r="N8" s="46"/>
      <c r="O8" s="46"/>
      <c r="P8" s="5" t="s">
        <v>34</v>
      </c>
    </row>
    <row r="9" ht="18" customHeight="1" spans="2:16">
      <c r="B9" s="46">
        <v>2</v>
      </c>
      <c r="C9" s="47" t="s">
        <v>30</v>
      </c>
      <c r="D9" s="47" t="s">
        <v>30</v>
      </c>
      <c r="E9" s="47"/>
      <c r="F9" s="47"/>
      <c r="G9" s="47" t="s">
        <v>35</v>
      </c>
      <c r="H9" s="47" t="s">
        <v>36</v>
      </c>
      <c r="I9" s="46" t="s">
        <v>33</v>
      </c>
      <c r="J9" s="46">
        <v>1</v>
      </c>
      <c r="K9" s="98">
        <v>2</v>
      </c>
      <c r="L9" s="46">
        <v>2</v>
      </c>
      <c r="M9" s="46">
        <v>2</v>
      </c>
      <c r="N9" s="46">
        <v>2</v>
      </c>
      <c r="O9" s="46">
        <v>2</v>
      </c>
      <c r="P9" s="5" t="s">
        <v>34</v>
      </c>
    </row>
    <row r="10" ht="18" customHeight="1" spans="2:16">
      <c r="B10" s="46">
        <v>3</v>
      </c>
      <c r="C10" s="47" t="s">
        <v>30</v>
      </c>
      <c r="D10" s="47" t="s">
        <v>30</v>
      </c>
      <c r="E10" s="47"/>
      <c r="F10" s="47"/>
      <c r="G10" s="47" t="s">
        <v>37</v>
      </c>
      <c r="H10" s="47" t="s">
        <v>38</v>
      </c>
      <c r="I10" s="46" t="s">
        <v>33</v>
      </c>
      <c r="J10" s="46">
        <v>1</v>
      </c>
      <c r="K10" s="98">
        <v>1</v>
      </c>
      <c r="L10" s="46">
        <v>1</v>
      </c>
      <c r="M10" s="46">
        <v>1</v>
      </c>
      <c r="N10" s="46">
        <v>1</v>
      </c>
      <c r="O10" s="46">
        <v>1</v>
      </c>
      <c r="P10" s="5" t="s">
        <v>34</v>
      </c>
    </row>
    <row r="11" ht="18" customHeight="1" spans="2:16">
      <c r="B11" s="99">
        <v>4</v>
      </c>
      <c r="C11" s="100" t="s">
        <v>39</v>
      </c>
      <c r="D11" s="100" t="s">
        <v>40</v>
      </c>
      <c r="E11" s="100" t="s">
        <v>41</v>
      </c>
      <c r="F11" s="100" t="s">
        <v>42</v>
      </c>
      <c r="G11" s="100" t="s">
        <v>43</v>
      </c>
      <c r="H11" s="100" t="s">
        <v>44</v>
      </c>
      <c r="I11" s="99" t="s">
        <v>45</v>
      </c>
      <c r="J11" s="99">
        <v>1</v>
      </c>
      <c r="K11" s="101">
        <v>1.8</v>
      </c>
      <c r="L11" s="101" t="s">
        <v>46</v>
      </c>
      <c r="M11" s="101" t="s">
        <v>46</v>
      </c>
      <c r="N11" s="101" t="s">
        <v>46</v>
      </c>
      <c r="O11" s="101">
        <v>2.34</v>
      </c>
      <c r="P11" s="102"/>
    </row>
    <row r="12" ht="18" customHeight="1" spans="2:16">
      <c r="B12" s="99">
        <v>5</v>
      </c>
      <c r="C12" s="100" t="s">
        <v>39</v>
      </c>
      <c r="D12" s="100" t="s">
        <v>40</v>
      </c>
      <c r="E12" s="100" t="s">
        <v>41</v>
      </c>
      <c r="F12" s="100" t="s">
        <v>47</v>
      </c>
      <c r="G12" s="100" t="s">
        <v>48</v>
      </c>
      <c r="H12" s="100" t="s">
        <v>49</v>
      </c>
      <c r="I12" s="99" t="s">
        <v>45</v>
      </c>
      <c r="J12" s="99">
        <v>1</v>
      </c>
      <c r="K12" s="101">
        <v>2.3</v>
      </c>
      <c r="L12" s="101" t="s">
        <v>46</v>
      </c>
      <c r="M12" s="101" t="s">
        <v>46</v>
      </c>
      <c r="N12" s="101" t="s">
        <v>46</v>
      </c>
      <c r="O12" s="101">
        <v>2.99</v>
      </c>
      <c r="P12" s="102"/>
    </row>
    <row r="13" ht="18" customHeight="1" spans="2:16">
      <c r="B13" s="99">
        <v>6</v>
      </c>
      <c r="C13" s="100" t="s">
        <v>39</v>
      </c>
      <c r="D13" s="100" t="s">
        <v>40</v>
      </c>
      <c r="E13" s="100" t="s">
        <v>41</v>
      </c>
      <c r="F13" s="100" t="s">
        <v>50</v>
      </c>
      <c r="G13" s="100" t="s">
        <v>51</v>
      </c>
      <c r="H13" s="100" t="s">
        <v>52</v>
      </c>
      <c r="I13" s="99" t="s">
        <v>45</v>
      </c>
      <c r="J13" s="99">
        <v>1</v>
      </c>
      <c r="K13" s="101">
        <v>4.3</v>
      </c>
      <c r="L13" s="101" t="s">
        <v>46</v>
      </c>
      <c r="M13" s="101" t="s">
        <v>46</v>
      </c>
      <c r="N13" s="101" t="s">
        <v>46</v>
      </c>
      <c r="O13" s="101">
        <v>5.59</v>
      </c>
      <c r="P13" s="102"/>
    </row>
    <row r="14" ht="18" customHeight="1" collapsed="1" spans="2:16">
      <c r="B14" s="99">
        <v>7</v>
      </c>
      <c r="C14" s="100" t="s">
        <v>53</v>
      </c>
      <c r="D14" s="100" t="s">
        <v>53</v>
      </c>
      <c r="E14" s="100" t="s">
        <v>54</v>
      </c>
      <c r="F14" s="100" t="s">
        <v>55</v>
      </c>
      <c r="G14" s="100" t="s">
        <v>56</v>
      </c>
      <c r="H14" s="100" t="s">
        <v>57</v>
      </c>
      <c r="I14" s="99" t="s">
        <v>58</v>
      </c>
      <c r="J14" s="99">
        <v>1</v>
      </c>
      <c r="K14" s="101">
        <f>SUM(K15:K18)+K19/10</f>
        <v>0.625</v>
      </c>
      <c r="L14" s="101">
        <f>SUM(L15:L18)+L19/10</f>
        <v>0.9</v>
      </c>
      <c r="M14" s="101">
        <f>SUM(M15:M18)+M19/10</f>
        <v>0.79</v>
      </c>
      <c r="N14" s="101">
        <f>SUM(N15:N18)+N19/10</f>
        <v>0.8175</v>
      </c>
      <c r="O14" s="101">
        <f>SUM(O15:O18)+O19/10</f>
        <v>0.795</v>
      </c>
      <c r="P14" s="102"/>
    </row>
    <row r="15" hidden="1" customHeight="1" outlineLevel="1" spans="2:16">
      <c r="B15" s="103">
        <v>7.1</v>
      </c>
      <c r="C15" s="47"/>
      <c r="D15" s="47"/>
      <c r="E15" s="47"/>
      <c r="F15" s="47"/>
      <c r="G15" s="47"/>
      <c r="H15" s="47" t="s">
        <v>59</v>
      </c>
      <c r="I15" s="46" t="s">
        <v>58</v>
      </c>
      <c r="J15" s="46">
        <v>1</v>
      </c>
      <c r="K15" s="98">
        <v>0.1</v>
      </c>
      <c r="L15" s="98">
        <v>0.15</v>
      </c>
      <c r="M15" s="98">
        <v>0.13</v>
      </c>
      <c r="N15" s="98">
        <v>0.135</v>
      </c>
      <c r="O15" s="98">
        <v>0.13</v>
      </c>
      <c r="P15" s="5"/>
    </row>
    <row r="16" hidden="1" customHeight="1" outlineLevel="1" spans="2:16">
      <c r="B16" s="103">
        <v>7.2</v>
      </c>
      <c r="C16" s="47"/>
      <c r="D16" s="47"/>
      <c r="E16" s="47"/>
      <c r="F16" s="47"/>
      <c r="G16" s="47"/>
      <c r="H16" s="47" t="s">
        <v>60</v>
      </c>
      <c r="I16" s="46" t="s">
        <v>58</v>
      </c>
      <c r="J16" s="46">
        <v>1</v>
      </c>
      <c r="K16" s="98">
        <v>0.1</v>
      </c>
      <c r="L16" s="98">
        <v>0.15</v>
      </c>
      <c r="M16" s="98">
        <v>0.13</v>
      </c>
      <c r="N16" s="98">
        <v>0.135</v>
      </c>
      <c r="O16" s="98">
        <v>0.13</v>
      </c>
      <c r="P16" s="5"/>
    </row>
    <row r="17" hidden="1" customHeight="1" outlineLevel="1" spans="2:16">
      <c r="B17" s="103">
        <v>7.3</v>
      </c>
      <c r="C17" s="47"/>
      <c r="D17" s="47"/>
      <c r="E17" s="47"/>
      <c r="F17" s="47"/>
      <c r="G17" s="47"/>
      <c r="H17" s="47" t="s">
        <v>61</v>
      </c>
      <c r="I17" s="46" t="s">
        <v>58</v>
      </c>
      <c r="J17" s="46">
        <v>1</v>
      </c>
      <c r="K17" s="98">
        <v>0.1</v>
      </c>
      <c r="L17" s="98">
        <v>0.15</v>
      </c>
      <c r="M17" s="98">
        <v>0.13</v>
      </c>
      <c r="N17" s="98">
        <v>0.135</v>
      </c>
      <c r="O17" s="98">
        <v>0.13</v>
      </c>
      <c r="P17" s="5"/>
    </row>
    <row r="18" hidden="1" customHeight="1" outlineLevel="1" spans="2:16">
      <c r="B18" s="103">
        <v>7.4</v>
      </c>
      <c r="C18" s="47"/>
      <c r="D18" s="47"/>
      <c r="E18" s="47"/>
      <c r="F18" s="47"/>
      <c r="G18" s="47"/>
      <c r="H18" s="47" t="s">
        <v>62</v>
      </c>
      <c r="I18" s="46" t="s">
        <v>58</v>
      </c>
      <c r="J18" s="46">
        <v>1</v>
      </c>
      <c r="K18" s="98">
        <v>0.25</v>
      </c>
      <c r="L18" s="98">
        <v>0.375</v>
      </c>
      <c r="M18" s="98">
        <v>0.325</v>
      </c>
      <c r="N18" s="98">
        <v>0.3375</v>
      </c>
      <c r="O18" s="98">
        <v>0.33</v>
      </c>
      <c r="P18" s="5"/>
    </row>
    <row r="19" hidden="1" customHeight="1" outlineLevel="1" spans="2:16">
      <c r="B19" s="103">
        <v>7.5</v>
      </c>
      <c r="C19" s="47"/>
      <c r="D19" s="47"/>
      <c r="E19" s="47"/>
      <c r="F19" s="47"/>
      <c r="G19" s="47"/>
      <c r="H19" s="47" t="s">
        <v>63</v>
      </c>
      <c r="I19" s="46" t="s">
        <v>64</v>
      </c>
      <c r="J19" s="46">
        <v>1</v>
      </c>
      <c r="K19" s="98">
        <v>0.75</v>
      </c>
      <c r="L19" s="98">
        <v>0.75</v>
      </c>
      <c r="M19" s="98">
        <v>0.75</v>
      </c>
      <c r="N19" s="98">
        <v>0.75</v>
      </c>
      <c r="O19" s="98">
        <v>0.75</v>
      </c>
      <c r="P19" s="5"/>
    </row>
    <row r="20" ht="18" customHeight="1" spans="2:16">
      <c r="B20" s="99">
        <v>8</v>
      </c>
      <c r="C20" s="100" t="s">
        <v>39</v>
      </c>
      <c r="D20" s="100" t="s">
        <v>39</v>
      </c>
      <c r="E20" s="100" t="s">
        <v>54</v>
      </c>
      <c r="F20" s="100" t="s">
        <v>65</v>
      </c>
      <c r="G20" s="100" t="s">
        <v>66</v>
      </c>
      <c r="H20" s="100" t="s">
        <v>67</v>
      </c>
      <c r="I20" s="99" t="s">
        <v>58</v>
      </c>
      <c r="J20" s="99">
        <v>1</v>
      </c>
      <c r="K20" s="101">
        <v>0.333</v>
      </c>
      <c r="L20" s="99">
        <v>0.5</v>
      </c>
      <c r="M20" s="101">
        <v>0.45</v>
      </c>
      <c r="N20" s="101">
        <v>0.45</v>
      </c>
      <c r="O20" s="99">
        <v>0.5</v>
      </c>
      <c r="P20" s="102"/>
    </row>
    <row r="21" ht="18" customHeight="1" spans="2:16">
      <c r="B21" s="99">
        <v>9</v>
      </c>
      <c r="C21" s="100" t="s">
        <v>39</v>
      </c>
      <c r="D21" s="100" t="s">
        <v>68</v>
      </c>
      <c r="E21" s="100" t="s">
        <v>54</v>
      </c>
      <c r="F21" s="100" t="s">
        <v>55</v>
      </c>
      <c r="G21" s="100" t="s">
        <v>69</v>
      </c>
      <c r="H21" s="100" t="s">
        <v>70</v>
      </c>
      <c r="I21" s="99" t="s">
        <v>71</v>
      </c>
      <c r="J21" s="99">
        <v>1</v>
      </c>
      <c r="K21" s="101">
        <v>8</v>
      </c>
      <c r="L21" s="99">
        <f>$K21*1.5</f>
        <v>12</v>
      </c>
      <c r="M21" s="99">
        <f>$K21*1.3</f>
        <v>10.4</v>
      </c>
      <c r="N21" s="99">
        <f>$K21*1.35</f>
        <v>10.8</v>
      </c>
      <c r="O21" s="99">
        <v>12</v>
      </c>
      <c r="P21" s="102" t="s">
        <v>72</v>
      </c>
    </row>
    <row r="22" ht="18" customHeight="1" spans="2:16">
      <c r="B22" s="99">
        <v>10</v>
      </c>
      <c r="C22" s="100" t="s">
        <v>39</v>
      </c>
      <c r="D22" s="100" t="s">
        <v>68</v>
      </c>
      <c r="E22" s="100" t="s">
        <v>54</v>
      </c>
      <c r="F22" s="100" t="s">
        <v>55</v>
      </c>
      <c r="G22" s="100" t="s">
        <v>73</v>
      </c>
      <c r="H22" s="100" t="s">
        <v>74</v>
      </c>
      <c r="I22" s="99" t="s">
        <v>71</v>
      </c>
      <c r="J22" s="99">
        <v>1</v>
      </c>
      <c r="K22" s="101">
        <v>6</v>
      </c>
      <c r="L22" s="99">
        <f>$K22*1.5</f>
        <v>9</v>
      </c>
      <c r="M22" s="99">
        <f>$K22*1.3</f>
        <v>7.8</v>
      </c>
      <c r="N22" s="99">
        <f>$K22*1.35</f>
        <v>8.1</v>
      </c>
      <c r="O22" s="99">
        <v>9</v>
      </c>
      <c r="P22" s="102" t="s">
        <v>72</v>
      </c>
    </row>
    <row r="23" ht="18" customHeight="1" spans="2:16">
      <c r="B23" s="99">
        <v>11</v>
      </c>
      <c r="C23" s="100" t="s">
        <v>39</v>
      </c>
      <c r="D23" s="100" t="s">
        <v>68</v>
      </c>
      <c r="E23" s="100" t="s">
        <v>54</v>
      </c>
      <c r="F23" s="100" t="s">
        <v>55</v>
      </c>
      <c r="G23" s="100" t="s">
        <v>75</v>
      </c>
      <c r="H23" s="100" t="s">
        <v>76</v>
      </c>
      <c r="I23" s="99" t="s">
        <v>71</v>
      </c>
      <c r="J23" s="99">
        <v>1</v>
      </c>
      <c r="K23" s="101">
        <v>4</v>
      </c>
      <c r="L23" s="99">
        <f>$K23*1.5</f>
        <v>6</v>
      </c>
      <c r="M23" s="99">
        <f>$K23*1.3</f>
        <v>5.2</v>
      </c>
      <c r="N23" s="99">
        <f>$K23*1.35</f>
        <v>5.4</v>
      </c>
      <c r="O23" s="99">
        <v>6</v>
      </c>
      <c r="P23" s="102" t="s">
        <v>72</v>
      </c>
    </row>
    <row r="24" ht="18" customHeight="1" spans="2:16">
      <c r="B24" s="99">
        <v>12</v>
      </c>
      <c r="C24" s="100" t="s">
        <v>39</v>
      </c>
      <c r="D24" s="100" t="s">
        <v>68</v>
      </c>
      <c r="E24" s="100" t="s">
        <v>54</v>
      </c>
      <c r="F24" s="100" t="s">
        <v>55</v>
      </c>
      <c r="G24" s="100" t="s">
        <v>77</v>
      </c>
      <c r="H24" s="100" t="s">
        <v>78</v>
      </c>
      <c r="I24" s="99" t="s">
        <v>71</v>
      </c>
      <c r="J24" s="99">
        <v>1</v>
      </c>
      <c r="K24" s="101">
        <v>2</v>
      </c>
      <c r="L24" s="99">
        <f>$K24*1.5</f>
        <v>3</v>
      </c>
      <c r="M24" s="99">
        <f>$K24*1.3</f>
        <v>2.6</v>
      </c>
      <c r="N24" s="99">
        <f>$K24*1.35</f>
        <v>2.7</v>
      </c>
      <c r="O24" s="99">
        <v>3</v>
      </c>
      <c r="P24" s="102" t="s">
        <v>72</v>
      </c>
    </row>
    <row r="25" ht="18" customHeight="1" spans="2:16">
      <c r="B25" s="99">
        <v>13</v>
      </c>
      <c r="C25" s="100" t="s">
        <v>39</v>
      </c>
      <c r="D25" s="100" t="s">
        <v>40</v>
      </c>
      <c r="E25" s="100" t="s">
        <v>54</v>
      </c>
      <c r="F25" s="100" t="s">
        <v>55</v>
      </c>
      <c r="G25" s="100" t="s">
        <v>79</v>
      </c>
      <c r="H25" s="100" t="s">
        <v>80</v>
      </c>
      <c r="I25" s="99" t="s">
        <v>58</v>
      </c>
      <c r="J25" s="99">
        <v>1</v>
      </c>
      <c r="K25" s="101">
        <v>4.8</v>
      </c>
      <c r="L25" s="99">
        <v>8.1</v>
      </c>
      <c r="M25" s="99">
        <v>7.86</v>
      </c>
      <c r="N25" s="99">
        <v>6.48</v>
      </c>
      <c r="O25" s="99">
        <v>7.5</v>
      </c>
      <c r="P25" s="102"/>
    </row>
    <row r="26" ht="18" customHeight="1" spans="2:16">
      <c r="B26" s="99">
        <v>14</v>
      </c>
      <c r="C26" s="100" t="s">
        <v>39</v>
      </c>
      <c r="D26" s="100" t="s">
        <v>40</v>
      </c>
      <c r="E26" s="100" t="s">
        <v>54</v>
      </c>
      <c r="F26" s="100" t="s">
        <v>55</v>
      </c>
      <c r="G26" s="100" t="s">
        <v>79</v>
      </c>
      <c r="H26" s="100" t="s">
        <v>81</v>
      </c>
      <c r="I26" s="99" t="s">
        <v>58</v>
      </c>
      <c r="J26" s="99">
        <v>1</v>
      </c>
      <c r="K26" s="101">
        <v>4.8</v>
      </c>
      <c r="L26" s="99">
        <v>8.1</v>
      </c>
      <c r="M26" s="99">
        <v>7.86</v>
      </c>
      <c r="N26" s="99">
        <v>6.48</v>
      </c>
      <c r="O26" s="99">
        <v>6.2</v>
      </c>
      <c r="P26" s="102"/>
    </row>
    <row r="27" ht="18" customHeight="1" collapsed="1" spans="2:16">
      <c r="B27" s="99">
        <v>15</v>
      </c>
      <c r="C27" s="100" t="s">
        <v>53</v>
      </c>
      <c r="D27" s="100" t="s">
        <v>53</v>
      </c>
      <c r="E27" s="100" t="s">
        <v>82</v>
      </c>
      <c r="F27" s="100" t="s">
        <v>83</v>
      </c>
      <c r="G27" s="100" t="s">
        <v>84</v>
      </c>
      <c r="H27" s="100" t="s">
        <v>85</v>
      </c>
      <c r="I27" s="99" t="s">
        <v>58</v>
      </c>
      <c r="J27" s="99">
        <v>1</v>
      </c>
      <c r="K27" s="101">
        <f>K28+K29+K30+K31+K33+K32*3</f>
        <v>5.99</v>
      </c>
      <c r="L27" s="101">
        <f>L28+L29+L30+L31+L33+L32*3</f>
        <v>9.25</v>
      </c>
      <c r="M27" s="101">
        <f>M28+M29+M30+M31+M33+M32*3</f>
        <v>7.39</v>
      </c>
      <c r="N27" s="101">
        <f>N28+N29+N30+N31+N33+N32*3</f>
        <v>8.02</v>
      </c>
      <c r="O27" s="101" t="s">
        <v>46</v>
      </c>
      <c r="P27" s="102"/>
    </row>
    <row r="28" s="80" customFormat="1" hidden="1" customHeight="1" outlineLevel="1" spans="2:16">
      <c r="B28" s="103">
        <v>16.1</v>
      </c>
      <c r="C28" s="103"/>
      <c r="D28" s="103"/>
      <c r="E28" s="47"/>
      <c r="F28" s="103"/>
      <c r="G28" s="47"/>
      <c r="H28" s="47" t="s">
        <v>86</v>
      </c>
      <c r="I28" s="103" t="s">
        <v>58</v>
      </c>
      <c r="J28" s="103">
        <v>1</v>
      </c>
      <c r="K28" s="104">
        <v>0.4</v>
      </c>
      <c r="L28" s="104">
        <v>0.8</v>
      </c>
      <c r="M28" s="104">
        <v>0.4</v>
      </c>
      <c r="N28" s="104">
        <v>0.6</v>
      </c>
      <c r="O28" s="98" t="s">
        <v>46</v>
      </c>
      <c r="P28" s="103"/>
    </row>
    <row r="29" s="80" customFormat="1" hidden="1" customHeight="1" outlineLevel="1" spans="2:16">
      <c r="B29" s="103">
        <v>16.2</v>
      </c>
      <c r="C29" s="103"/>
      <c r="D29" s="103"/>
      <c r="E29" s="47"/>
      <c r="F29" s="103"/>
      <c r="G29" s="47"/>
      <c r="H29" s="47" t="s">
        <v>87</v>
      </c>
      <c r="I29" s="103" t="s">
        <v>58</v>
      </c>
      <c r="J29" s="103">
        <v>1</v>
      </c>
      <c r="K29" s="104">
        <v>0.67</v>
      </c>
      <c r="L29" s="104">
        <v>1.2</v>
      </c>
      <c r="M29" s="104">
        <v>0.67</v>
      </c>
      <c r="N29" s="104">
        <v>1</v>
      </c>
      <c r="O29" s="98" t="s">
        <v>46</v>
      </c>
      <c r="P29" s="103"/>
    </row>
    <row r="30" s="80" customFormat="1" hidden="1" customHeight="1" outlineLevel="1" spans="2:16">
      <c r="B30" s="103">
        <v>16.3</v>
      </c>
      <c r="C30" s="103"/>
      <c r="D30" s="103"/>
      <c r="E30" s="47"/>
      <c r="F30" s="103"/>
      <c r="G30" s="47"/>
      <c r="H30" s="47" t="s">
        <v>88</v>
      </c>
      <c r="I30" s="103" t="s">
        <v>58</v>
      </c>
      <c r="J30" s="103">
        <v>1</v>
      </c>
      <c r="K30" s="104">
        <v>0.17</v>
      </c>
      <c r="L30" s="104">
        <v>0.5</v>
      </c>
      <c r="M30" s="104">
        <v>0.5</v>
      </c>
      <c r="N30" s="104">
        <v>0.5</v>
      </c>
      <c r="O30" s="98" t="s">
        <v>46</v>
      </c>
      <c r="P30" s="103"/>
    </row>
    <row r="31" s="80" customFormat="1" hidden="1" customHeight="1" outlineLevel="1" spans="2:16">
      <c r="B31" s="103">
        <v>16.4</v>
      </c>
      <c r="C31" s="103"/>
      <c r="D31" s="103"/>
      <c r="E31" s="47"/>
      <c r="F31" s="103"/>
      <c r="G31" s="47"/>
      <c r="H31" s="47" t="s">
        <v>89</v>
      </c>
      <c r="I31" s="103" t="s">
        <v>58</v>
      </c>
      <c r="J31" s="103">
        <v>1</v>
      </c>
      <c r="K31" s="104">
        <v>0.58</v>
      </c>
      <c r="L31" s="104">
        <v>0.75</v>
      </c>
      <c r="M31" s="104">
        <v>0.75</v>
      </c>
      <c r="N31" s="104">
        <v>0.67</v>
      </c>
      <c r="O31" s="98" t="s">
        <v>46</v>
      </c>
      <c r="P31" s="103"/>
    </row>
    <row r="32" s="80" customFormat="1" hidden="1" customHeight="1" outlineLevel="1" spans="2:16">
      <c r="B32" s="103">
        <v>16.5</v>
      </c>
      <c r="C32" s="103"/>
      <c r="D32" s="103"/>
      <c r="E32" s="47"/>
      <c r="F32" s="103"/>
      <c r="G32" s="47"/>
      <c r="H32" s="47" t="s">
        <v>90</v>
      </c>
      <c r="I32" s="103" t="s">
        <v>91</v>
      </c>
      <c r="J32" s="103">
        <v>1</v>
      </c>
      <c r="K32" s="104">
        <v>1</v>
      </c>
      <c r="L32" s="104">
        <v>1.5</v>
      </c>
      <c r="M32" s="104">
        <v>1.3</v>
      </c>
      <c r="N32" s="104">
        <v>1.35</v>
      </c>
      <c r="O32" s="98" t="s">
        <v>46</v>
      </c>
      <c r="P32" s="103"/>
    </row>
    <row r="33" s="80" customFormat="1" hidden="1" customHeight="1" outlineLevel="1" spans="2:17">
      <c r="B33" s="103">
        <v>16.6</v>
      </c>
      <c r="C33" s="103"/>
      <c r="D33" s="103"/>
      <c r="E33" s="47"/>
      <c r="F33" s="103"/>
      <c r="G33" s="47"/>
      <c r="H33" s="47" t="s">
        <v>92</v>
      </c>
      <c r="I33" s="103" t="s">
        <v>58</v>
      </c>
      <c r="J33" s="103">
        <v>1</v>
      </c>
      <c r="K33" s="104">
        <v>1.17</v>
      </c>
      <c r="L33" s="104">
        <v>1.5</v>
      </c>
      <c r="M33" s="104">
        <v>1.17</v>
      </c>
      <c r="N33" s="104">
        <v>1.2</v>
      </c>
      <c r="O33" s="98" t="s">
        <v>46</v>
      </c>
      <c r="P33" s="103"/>
    </row>
    <row r="34" ht="18" customHeight="1" collapsed="1" spans="2:17">
      <c r="B34" s="99">
        <v>17</v>
      </c>
      <c r="C34" s="100" t="s">
        <v>39</v>
      </c>
      <c r="D34" s="100" t="s">
        <v>39</v>
      </c>
      <c r="E34" s="100" t="s">
        <v>82</v>
      </c>
      <c r="F34" s="100" t="s">
        <v>83</v>
      </c>
      <c r="G34" s="100" t="s">
        <v>93</v>
      </c>
      <c r="H34" s="100" t="s">
        <v>94</v>
      </c>
      <c r="I34" s="99" t="s">
        <v>58</v>
      </c>
      <c r="J34" s="99">
        <v>1</v>
      </c>
      <c r="K34" s="101">
        <f>SUM(K35:K62)</f>
        <v>4.85000000000001</v>
      </c>
      <c r="L34" s="101">
        <f>SUM(L35:L62)</f>
        <v>6.25333333333334</v>
      </c>
      <c r="M34" s="101">
        <f>SUM(M35:M62)</f>
        <v>5.69000000000001</v>
      </c>
      <c r="N34" s="101">
        <f>SUM(N35:N62)</f>
        <v>5.89166666666667</v>
      </c>
      <c r="O34" s="101" t="s">
        <v>46</v>
      </c>
      <c r="P34" s="105"/>
    </row>
    <row r="35" s="80" customFormat="1" ht="41.25" hidden="1" customHeight="1" outlineLevel="1" spans="2:17">
      <c r="B35" s="106" t="s">
        <v>95</v>
      </c>
      <c r="C35" s="103"/>
      <c r="D35" s="103"/>
      <c r="E35" s="47"/>
      <c r="F35" s="103"/>
      <c r="G35" s="47" t="s">
        <v>96</v>
      </c>
      <c r="H35" s="61" t="s">
        <v>97</v>
      </c>
      <c r="I35" s="103" t="s">
        <v>58</v>
      </c>
      <c r="J35" s="103">
        <v>1</v>
      </c>
      <c r="K35" s="104">
        <v>0.166666666666667</v>
      </c>
      <c r="L35" s="104">
        <v>0.250000000000001</v>
      </c>
      <c r="M35" s="104">
        <v>0.216666666666667</v>
      </c>
      <c r="N35" s="104">
        <v>0.225</v>
      </c>
      <c r="O35" s="103"/>
      <c r="P35" s="47" t="s">
        <v>98</v>
      </c>
      <c r="Q35" s="107"/>
    </row>
    <row r="36" s="80" customFormat="1" ht="27.75" hidden="1" customHeight="1" outlineLevel="1" spans="2:17">
      <c r="B36" s="106" t="s">
        <v>99</v>
      </c>
      <c r="C36" s="103"/>
      <c r="D36" s="103"/>
      <c r="E36" s="47"/>
      <c r="F36" s="103"/>
      <c r="G36" s="47" t="s">
        <v>100</v>
      </c>
      <c r="H36" s="61" t="s">
        <v>101</v>
      </c>
      <c r="I36" s="103" t="s">
        <v>58</v>
      </c>
      <c r="J36" s="103">
        <v>1</v>
      </c>
      <c r="K36" s="104">
        <v>0.116666666666667</v>
      </c>
      <c r="L36" s="104">
        <v>0.175000000000001</v>
      </c>
      <c r="M36" s="104">
        <v>0.151666666666667</v>
      </c>
      <c r="N36" s="104">
        <v>0.1575</v>
      </c>
      <c r="O36" s="103"/>
      <c r="P36" s="47" t="s">
        <v>98</v>
      </c>
      <c r="Q36" s="107"/>
    </row>
    <row r="37" s="80" customFormat="1" ht="41.25" hidden="1" customHeight="1" outlineLevel="1" spans="2:17">
      <c r="B37" s="106" t="s">
        <v>102</v>
      </c>
      <c r="C37" s="103"/>
      <c r="D37" s="103"/>
      <c r="E37" s="47"/>
      <c r="F37" s="103"/>
      <c r="G37" s="47" t="s">
        <v>103</v>
      </c>
      <c r="H37" s="61" t="s">
        <v>104</v>
      </c>
      <c r="I37" s="103" t="s">
        <v>58</v>
      </c>
      <c r="J37" s="103">
        <v>1</v>
      </c>
      <c r="K37" s="104">
        <v>0.166666666666667</v>
      </c>
      <c r="L37" s="104">
        <v>0.17</v>
      </c>
      <c r="M37" s="104">
        <v>0.166666666666667</v>
      </c>
      <c r="N37" s="104">
        <v>0.17</v>
      </c>
      <c r="O37" s="103"/>
      <c r="P37" s="103"/>
      <c r="Q37" s="107"/>
    </row>
    <row r="38" s="80" customFormat="1" ht="68.25" hidden="1" customHeight="1" outlineLevel="1" spans="2:17">
      <c r="B38" s="106" t="s">
        <v>105</v>
      </c>
      <c r="C38" s="103"/>
      <c r="D38" s="103"/>
      <c r="E38" s="47"/>
      <c r="F38" s="103"/>
      <c r="G38" s="47" t="s">
        <v>106</v>
      </c>
      <c r="H38" s="61" t="s">
        <v>107</v>
      </c>
      <c r="I38" s="103" t="s">
        <v>58</v>
      </c>
      <c r="J38" s="103">
        <v>1</v>
      </c>
      <c r="K38" s="104">
        <v>0.166666666666667</v>
      </c>
      <c r="L38" s="104">
        <v>0.166666666666667</v>
      </c>
      <c r="M38" s="104">
        <v>0.166666666666667</v>
      </c>
      <c r="N38" s="104">
        <v>0.225</v>
      </c>
      <c r="O38" s="103"/>
      <c r="P38" s="47" t="s">
        <v>98</v>
      </c>
      <c r="Q38" s="107"/>
    </row>
    <row r="39" s="80" customFormat="1" hidden="1" customHeight="1" outlineLevel="1" spans="2:17">
      <c r="B39" s="106" t="s">
        <v>108</v>
      </c>
      <c r="C39" s="103"/>
      <c r="D39" s="103"/>
      <c r="E39" s="47"/>
      <c r="F39" s="103"/>
      <c r="G39" s="47" t="s">
        <v>109</v>
      </c>
      <c r="H39" s="47" t="s">
        <v>110</v>
      </c>
      <c r="I39" s="103" t="s">
        <v>58</v>
      </c>
      <c r="J39" s="103">
        <v>1</v>
      </c>
      <c r="K39" s="104">
        <v>0.126666666666667</v>
      </c>
      <c r="L39" s="104">
        <v>0.126666666666667</v>
      </c>
      <c r="M39" s="104">
        <v>0.126666666666667</v>
      </c>
      <c r="N39" s="104">
        <v>0.126666666666667</v>
      </c>
      <c r="O39" s="103"/>
      <c r="P39" s="103"/>
      <c r="Q39" s="107"/>
    </row>
    <row r="40" s="80" customFormat="1" ht="27.75" hidden="1" customHeight="1" outlineLevel="1" spans="2:17">
      <c r="B40" s="106" t="s">
        <v>111</v>
      </c>
      <c r="C40" s="103"/>
      <c r="D40" s="103"/>
      <c r="E40" s="47"/>
      <c r="F40" s="103"/>
      <c r="G40" s="47" t="s">
        <v>109</v>
      </c>
      <c r="H40" s="61" t="s">
        <v>112</v>
      </c>
      <c r="I40" s="103" t="s">
        <v>58</v>
      </c>
      <c r="J40" s="103">
        <v>1</v>
      </c>
      <c r="K40" s="104">
        <v>0.19</v>
      </c>
      <c r="L40" s="104">
        <v>0.19</v>
      </c>
      <c r="M40" s="104">
        <v>0.19</v>
      </c>
      <c r="N40" s="104">
        <v>0.19</v>
      </c>
      <c r="O40" s="103"/>
      <c r="P40" s="47" t="s">
        <v>98</v>
      </c>
      <c r="Q40" s="107"/>
    </row>
    <row r="41" s="80" customFormat="1" ht="68.25" hidden="1" customHeight="1" outlineLevel="1" spans="2:17">
      <c r="B41" s="106" t="s">
        <v>113</v>
      </c>
      <c r="C41" s="103"/>
      <c r="D41" s="103"/>
      <c r="E41" s="47"/>
      <c r="F41" s="103"/>
      <c r="G41" s="47" t="s">
        <v>114</v>
      </c>
      <c r="H41" s="61" t="s">
        <v>115</v>
      </c>
      <c r="I41" s="103" t="s">
        <v>58</v>
      </c>
      <c r="J41" s="103">
        <v>1</v>
      </c>
      <c r="K41" s="104">
        <v>0.633333333333335</v>
      </c>
      <c r="L41" s="104">
        <v>0.950000000000002</v>
      </c>
      <c r="M41" s="104">
        <v>0.823333333333336</v>
      </c>
      <c r="N41" s="104">
        <v>0.855000000000002</v>
      </c>
      <c r="O41" s="103"/>
      <c r="P41" s="103"/>
      <c r="Q41" s="107"/>
    </row>
    <row r="42" s="80" customFormat="1" ht="41.25" hidden="1" customHeight="1" outlineLevel="1" spans="2:17">
      <c r="B42" s="106" t="s">
        <v>116</v>
      </c>
      <c r="C42" s="103"/>
      <c r="D42" s="103"/>
      <c r="E42" s="47"/>
      <c r="F42" s="103"/>
      <c r="G42" s="47" t="s">
        <v>117</v>
      </c>
      <c r="H42" s="61" t="s">
        <v>118</v>
      </c>
      <c r="I42" s="103" t="s">
        <v>58</v>
      </c>
      <c r="J42" s="103">
        <v>1</v>
      </c>
      <c r="K42" s="104">
        <v>0.316666666666667</v>
      </c>
      <c r="L42" s="104">
        <v>0.316666666666667</v>
      </c>
      <c r="M42" s="104">
        <v>0.316666666666667</v>
      </c>
      <c r="N42" s="104">
        <v>0.316666666666667</v>
      </c>
      <c r="O42" s="103"/>
      <c r="P42" s="103"/>
      <c r="Q42" s="107"/>
    </row>
    <row r="43" s="80" customFormat="1" ht="54.75" hidden="1" customHeight="1" outlineLevel="1" spans="2:17">
      <c r="B43" s="106" t="s">
        <v>119</v>
      </c>
      <c r="C43" s="103"/>
      <c r="D43" s="103"/>
      <c r="E43" s="47"/>
      <c r="F43" s="103"/>
      <c r="G43" s="47" t="s">
        <v>120</v>
      </c>
      <c r="H43" s="61" t="s">
        <v>121</v>
      </c>
      <c r="I43" s="103" t="s">
        <v>58</v>
      </c>
      <c r="J43" s="103">
        <v>1</v>
      </c>
      <c r="K43" s="104">
        <v>0.0833333333333333</v>
      </c>
      <c r="L43" s="104">
        <v>0.0833333333333333</v>
      </c>
      <c r="M43" s="104">
        <v>0.0833333333333333</v>
      </c>
      <c r="N43" s="104">
        <v>0.0833333333333333</v>
      </c>
      <c r="O43" s="103"/>
      <c r="P43" s="108" t="s">
        <v>98</v>
      </c>
      <c r="Q43" s="107"/>
    </row>
    <row r="44" s="80" customFormat="1" ht="81.75" hidden="1" customHeight="1" outlineLevel="1" spans="2:17">
      <c r="B44" s="106" t="s">
        <v>122</v>
      </c>
      <c r="C44" s="103"/>
      <c r="D44" s="103"/>
      <c r="E44" s="47"/>
      <c r="F44" s="103"/>
      <c r="G44" s="47" t="s">
        <v>123</v>
      </c>
      <c r="H44" s="61" t="s">
        <v>124</v>
      </c>
      <c r="I44" s="103" t="s">
        <v>58</v>
      </c>
      <c r="J44" s="103">
        <v>1</v>
      </c>
      <c r="K44" s="104">
        <v>0.166666666666667</v>
      </c>
      <c r="L44" s="104">
        <v>0.166666666666667</v>
      </c>
      <c r="M44" s="104">
        <v>0.166666666666667</v>
      </c>
      <c r="N44" s="104">
        <v>0.166666666666667</v>
      </c>
      <c r="O44" s="103"/>
      <c r="P44" s="108" t="s">
        <v>98</v>
      </c>
      <c r="Q44" s="107"/>
    </row>
    <row r="45" s="80" customFormat="1" ht="27.75" hidden="1" customHeight="1" outlineLevel="1" spans="2:17">
      <c r="B45" s="106" t="s">
        <v>125</v>
      </c>
      <c r="C45" s="103"/>
      <c r="D45" s="103"/>
      <c r="E45" s="47"/>
      <c r="F45" s="103"/>
      <c r="G45" s="47" t="s">
        <v>126</v>
      </c>
      <c r="H45" s="61" t="s">
        <v>127</v>
      </c>
      <c r="I45" s="103" t="s">
        <v>58</v>
      </c>
      <c r="J45" s="103">
        <v>1</v>
      </c>
      <c r="K45" s="104">
        <v>0.166666666666667</v>
      </c>
      <c r="L45" s="104">
        <v>0.166666666666667</v>
      </c>
      <c r="M45" s="104">
        <v>0.166666666666667</v>
      </c>
      <c r="N45" s="104">
        <v>0.166666666666667</v>
      </c>
      <c r="O45" s="103"/>
      <c r="P45" s="103"/>
      <c r="Q45" s="107"/>
    </row>
    <row r="46" s="80" customFormat="1" ht="41.25" hidden="1" customHeight="1" outlineLevel="1" spans="2:17">
      <c r="B46" s="106" t="s">
        <v>128</v>
      </c>
      <c r="C46" s="103"/>
      <c r="D46" s="103"/>
      <c r="E46" s="47"/>
      <c r="F46" s="103"/>
      <c r="G46" s="47" t="s">
        <v>129</v>
      </c>
      <c r="H46" s="61" t="s">
        <v>130</v>
      </c>
      <c r="I46" s="103" t="s">
        <v>58</v>
      </c>
      <c r="J46" s="103">
        <v>1</v>
      </c>
      <c r="K46" s="104">
        <v>0.166666666666667</v>
      </c>
      <c r="L46" s="104">
        <v>0.166666666666667</v>
      </c>
      <c r="M46" s="104">
        <v>0.166666666666667</v>
      </c>
      <c r="N46" s="104">
        <v>0.166666666666667</v>
      </c>
      <c r="O46" s="103"/>
      <c r="P46" s="108" t="s">
        <v>98</v>
      </c>
      <c r="Q46" s="107"/>
    </row>
    <row r="47" s="80" customFormat="1" hidden="1" customHeight="1" outlineLevel="1" spans="2:17">
      <c r="B47" s="106" t="s">
        <v>131</v>
      </c>
      <c r="C47" s="103"/>
      <c r="D47" s="103"/>
      <c r="E47" s="47"/>
      <c r="F47" s="103"/>
      <c r="G47" s="47" t="s">
        <v>132</v>
      </c>
      <c r="H47" s="47" t="s">
        <v>133</v>
      </c>
      <c r="I47" s="103" t="s">
        <v>58</v>
      </c>
      <c r="J47" s="103">
        <v>1</v>
      </c>
      <c r="K47" s="104">
        <v>0.05</v>
      </c>
      <c r="L47" s="104">
        <v>0.075</v>
      </c>
      <c r="M47" s="104">
        <v>0.065</v>
      </c>
      <c r="N47" s="104">
        <v>0.0675</v>
      </c>
      <c r="O47" s="103"/>
      <c r="P47" s="103"/>
      <c r="Q47" s="107"/>
    </row>
    <row r="48" s="80" customFormat="1" ht="27.75" hidden="1" customHeight="1" outlineLevel="1" spans="2:17">
      <c r="B48" s="106" t="s">
        <v>134</v>
      </c>
      <c r="C48" s="103"/>
      <c r="D48" s="103"/>
      <c r="E48" s="47"/>
      <c r="F48" s="103"/>
      <c r="G48" s="47" t="s">
        <v>135</v>
      </c>
      <c r="H48" s="61" t="s">
        <v>136</v>
      </c>
      <c r="I48" s="103" t="s">
        <v>58</v>
      </c>
      <c r="J48" s="103">
        <v>1</v>
      </c>
      <c r="K48" s="104">
        <v>0.166666666666667</v>
      </c>
      <c r="L48" s="104">
        <v>0.250000000000001</v>
      </c>
      <c r="M48" s="104">
        <v>0.216666666666667</v>
      </c>
      <c r="N48" s="104">
        <v>0.225</v>
      </c>
      <c r="O48" s="103"/>
      <c r="P48" s="103"/>
      <c r="Q48" s="107"/>
    </row>
    <row r="49" s="80" customFormat="1" hidden="1" customHeight="1" outlineLevel="1" spans="2:17">
      <c r="B49" s="106" t="s">
        <v>137</v>
      </c>
      <c r="C49" s="103"/>
      <c r="D49" s="103"/>
      <c r="E49" s="47"/>
      <c r="F49" s="103"/>
      <c r="G49" s="47" t="s">
        <v>114</v>
      </c>
      <c r="H49" s="47" t="s">
        <v>138</v>
      </c>
      <c r="I49" s="103" t="s">
        <v>58</v>
      </c>
      <c r="J49" s="103">
        <v>1</v>
      </c>
      <c r="K49" s="104">
        <v>0.166666666666667</v>
      </c>
      <c r="L49" s="104">
        <v>0.250000000000001</v>
      </c>
      <c r="M49" s="104">
        <v>0.216666666666667</v>
      </c>
      <c r="N49" s="104">
        <v>0.225</v>
      </c>
      <c r="O49" s="103"/>
      <c r="P49" s="103"/>
      <c r="Q49" s="107"/>
    </row>
    <row r="50" s="80" customFormat="1" ht="68.25" hidden="1" customHeight="1" outlineLevel="1" spans="2:17">
      <c r="B50" s="106" t="s">
        <v>139</v>
      </c>
      <c r="C50" s="103"/>
      <c r="D50" s="103"/>
      <c r="E50" s="47"/>
      <c r="F50" s="103"/>
      <c r="G50" s="47" t="s">
        <v>140</v>
      </c>
      <c r="H50" s="61" t="s">
        <v>141</v>
      </c>
      <c r="I50" s="103" t="s">
        <v>58</v>
      </c>
      <c r="J50" s="103">
        <v>1</v>
      </c>
      <c r="K50" s="104">
        <v>0.333333333333333</v>
      </c>
      <c r="L50" s="104">
        <v>0.499999999999999</v>
      </c>
      <c r="M50" s="104">
        <v>0.433333333333333</v>
      </c>
      <c r="N50" s="104">
        <v>0.45</v>
      </c>
      <c r="O50" s="103"/>
      <c r="P50" s="103"/>
      <c r="Q50" s="107"/>
    </row>
    <row r="51" s="80" customFormat="1" ht="54.75" hidden="1" customHeight="1" outlineLevel="1" spans="2:17">
      <c r="B51" s="106" t="s">
        <v>142</v>
      </c>
      <c r="C51" s="103"/>
      <c r="D51" s="103"/>
      <c r="E51" s="47"/>
      <c r="F51" s="103"/>
      <c r="G51" s="47" t="s">
        <v>143</v>
      </c>
      <c r="H51" s="61" t="s">
        <v>144</v>
      </c>
      <c r="I51" s="103" t="s">
        <v>58</v>
      </c>
      <c r="J51" s="103">
        <v>1</v>
      </c>
      <c r="K51" s="104">
        <v>0.25</v>
      </c>
      <c r="L51" s="104">
        <v>0.25</v>
      </c>
      <c r="M51" s="104">
        <v>0.25</v>
      </c>
      <c r="N51" s="104">
        <v>0.25</v>
      </c>
      <c r="O51" s="103"/>
      <c r="P51" s="103"/>
      <c r="Q51" s="107"/>
    </row>
    <row r="52" s="80" customFormat="1" hidden="1" customHeight="1" outlineLevel="1" spans="2:17">
      <c r="B52" s="106" t="s">
        <v>145</v>
      </c>
      <c r="C52" s="103"/>
      <c r="D52" s="103"/>
      <c r="E52" s="47"/>
      <c r="F52" s="103"/>
      <c r="G52" s="47" t="s">
        <v>146</v>
      </c>
      <c r="H52" s="47" t="s">
        <v>147</v>
      </c>
      <c r="I52" s="103" t="s">
        <v>58</v>
      </c>
      <c r="J52" s="103">
        <v>1</v>
      </c>
      <c r="K52" s="104">
        <v>0.0833333333333333</v>
      </c>
      <c r="L52" s="104">
        <v>0.125</v>
      </c>
      <c r="M52" s="104">
        <v>0.108333333333333</v>
      </c>
      <c r="N52" s="104">
        <v>0.1125</v>
      </c>
      <c r="O52" s="103"/>
      <c r="P52" s="103"/>
      <c r="Q52" s="107"/>
    </row>
    <row r="53" s="80" customFormat="1" hidden="1" customHeight="1" outlineLevel="1" spans="2:17">
      <c r="B53" s="106" t="s">
        <v>148</v>
      </c>
      <c r="C53" s="103"/>
      <c r="D53" s="103"/>
      <c r="E53" s="47"/>
      <c r="F53" s="103"/>
      <c r="G53" s="47" t="s">
        <v>149</v>
      </c>
      <c r="H53" s="47" t="s">
        <v>150</v>
      </c>
      <c r="I53" s="103" t="s">
        <v>58</v>
      </c>
      <c r="J53" s="103">
        <v>1</v>
      </c>
      <c r="K53" s="104">
        <v>0.0833333333333333</v>
      </c>
      <c r="L53" s="104">
        <v>0.125</v>
      </c>
      <c r="M53" s="104">
        <v>0.108333333333333</v>
      </c>
      <c r="N53" s="104">
        <v>0.1125</v>
      </c>
      <c r="O53" s="103"/>
      <c r="P53" s="108" t="s">
        <v>98</v>
      </c>
      <c r="Q53" s="107"/>
    </row>
    <row r="54" s="80" customFormat="1" hidden="1" customHeight="1" outlineLevel="1" spans="2:17">
      <c r="B54" s="106" t="s">
        <v>151</v>
      </c>
      <c r="C54" s="103"/>
      <c r="D54" s="103"/>
      <c r="E54" s="47"/>
      <c r="F54" s="103"/>
      <c r="G54" s="47" t="s">
        <v>152</v>
      </c>
      <c r="H54" s="47" t="s">
        <v>153</v>
      </c>
      <c r="I54" s="103" t="s">
        <v>58</v>
      </c>
      <c r="J54" s="103">
        <v>1</v>
      </c>
      <c r="K54" s="104">
        <v>0.0833333333333333</v>
      </c>
      <c r="L54" s="104">
        <v>0.0833333333333333</v>
      </c>
      <c r="M54" s="104">
        <v>0.0833333333333333</v>
      </c>
      <c r="N54" s="104">
        <v>0.0833333333333333</v>
      </c>
      <c r="O54" s="103"/>
      <c r="P54" s="103"/>
      <c r="Q54" s="107"/>
    </row>
    <row r="55" s="80" customFormat="1" ht="68.25" hidden="1" customHeight="1" outlineLevel="1" spans="2:17">
      <c r="B55" s="106" t="s">
        <v>154</v>
      </c>
      <c r="C55" s="103"/>
      <c r="D55" s="103"/>
      <c r="E55" s="47"/>
      <c r="F55" s="103"/>
      <c r="G55" s="47" t="s">
        <v>155</v>
      </c>
      <c r="H55" s="61" t="s">
        <v>156</v>
      </c>
      <c r="I55" s="103" t="s">
        <v>58</v>
      </c>
      <c r="J55" s="103">
        <v>1</v>
      </c>
      <c r="K55" s="104">
        <v>0.166666666666667</v>
      </c>
      <c r="L55" s="104">
        <v>0.250000000000001</v>
      </c>
      <c r="M55" s="104">
        <v>0.216666666666667</v>
      </c>
      <c r="N55" s="104">
        <v>0.225</v>
      </c>
      <c r="O55" s="103"/>
      <c r="P55" s="108" t="s">
        <v>98</v>
      </c>
      <c r="Q55" s="107"/>
    </row>
    <row r="56" s="80" customFormat="1" ht="68.25" hidden="1" customHeight="1" outlineLevel="1" spans="2:17">
      <c r="B56" s="106" t="s">
        <v>157</v>
      </c>
      <c r="C56" s="103"/>
      <c r="D56" s="103"/>
      <c r="E56" s="47"/>
      <c r="F56" s="103"/>
      <c r="G56" s="47" t="s">
        <v>158</v>
      </c>
      <c r="H56" s="61" t="s">
        <v>159</v>
      </c>
      <c r="I56" s="103" t="s">
        <v>58</v>
      </c>
      <c r="J56" s="103">
        <v>1</v>
      </c>
      <c r="K56" s="104">
        <v>0.166666666666667</v>
      </c>
      <c r="L56" s="104">
        <v>0.250000000000001</v>
      </c>
      <c r="M56" s="104">
        <v>0.216666666666667</v>
      </c>
      <c r="N56" s="104">
        <v>0.225</v>
      </c>
      <c r="O56" s="103"/>
      <c r="P56" s="108" t="s">
        <v>98</v>
      </c>
      <c r="Q56" s="107"/>
    </row>
    <row r="57" s="80" customFormat="1" ht="27.75" hidden="1" customHeight="1" outlineLevel="1" spans="2:17">
      <c r="B57" s="106" t="s">
        <v>160</v>
      </c>
      <c r="C57" s="103"/>
      <c r="D57" s="103"/>
      <c r="E57" s="47"/>
      <c r="F57" s="103"/>
      <c r="G57" s="47" t="s">
        <v>161</v>
      </c>
      <c r="H57" s="61" t="s">
        <v>162</v>
      </c>
      <c r="I57" s="103" t="s">
        <v>58</v>
      </c>
      <c r="J57" s="103">
        <v>1</v>
      </c>
      <c r="K57" s="104">
        <v>0.0833333333333333</v>
      </c>
      <c r="L57" s="104">
        <v>0.0833333333333333</v>
      </c>
      <c r="M57" s="104">
        <v>0.0833333333333333</v>
      </c>
      <c r="N57" s="104">
        <v>0.0833333333333333</v>
      </c>
      <c r="O57" s="103"/>
      <c r="P57" s="108" t="s">
        <v>98</v>
      </c>
      <c r="Q57" s="107"/>
    </row>
    <row r="58" s="80" customFormat="1" ht="54.75" hidden="1" customHeight="1" outlineLevel="1" spans="2:17">
      <c r="B58" s="106" t="s">
        <v>163</v>
      </c>
      <c r="C58" s="103"/>
      <c r="D58" s="103"/>
      <c r="E58" s="47"/>
      <c r="F58" s="103"/>
      <c r="G58" s="47" t="s">
        <v>164</v>
      </c>
      <c r="H58" s="61" t="s">
        <v>165</v>
      </c>
      <c r="I58" s="103" t="s">
        <v>58</v>
      </c>
      <c r="J58" s="103">
        <v>1</v>
      </c>
      <c r="K58" s="104">
        <v>0.166666666666667</v>
      </c>
      <c r="L58" s="104">
        <v>0.250000000000001</v>
      </c>
      <c r="M58" s="104">
        <v>0.216666666666667</v>
      </c>
      <c r="N58" s="104">
        <v>0.225</v>
      </c>
      <c r="O58" s="103"/>
      <c r="P58" s="103"/>
      <c r="Q58" s="107"/>
    </row>
    <row r="59" s="80" customFormat="1" ht="41.25" hidden="1" customHeight="1" outlineLevel="1" spans="2:17">
      <c r="B59" s="106" t="s">
        <v>166</v>
      </c>
      <c r="C59" s="103"/>
      <c r="D59" s="103"/>
      <c r="E59" s="47"/>
      <c r="F59" s="103"/>
      <c r="G59" s="47" t="s">
        <v>167</v>
      </c>
      <c r="H59" s="61" t="s">
        <v>168</v>
      </c>
      <c r="I59" s="103" t="s">
        <v>58</v>
      </c>
      <c r="J59" s="103">
        <v>1</v>
      </c>
      <c r="K59" s="104">
        <v>0.166666666666667</v>
      </c>
      <c r="L59" s="104">
        <v>0.250000000000001</v>
      </c>
      <c r="M59" s="104">
        <v>0.216666666666667</v>
      </c>
      <c r="N59" s="104">
        <v>0.225</v>
      </c>
      <c r="O59" s="103"/>
      <c r="P59" s="103"/>
      <c r="Q59" s="107"/>
    </row>
    <row r="60" s="80" customFormat="1" ht="27.75" hidden="1" customHeight="1" outlineLevel="1" spans="2:17">
      <c r="B60" s="106" t="s">
        <v>169</v>
      </c>
      <c r="C60" s="103"/>
      <c r="D60" s="103"/>
      <c r="E60" s="47"/>
      <c r="F60" s="103"/>
      <c r="G60" s="47" t="s">
        <v>170</v>
      </c>
      <c r="H60" s="61" t="s">
        <v>171</v>
      </c>
      <c r="I60" s="103" t="s">
        <v>58</v>
      </c>
      <c r="J60" s="103">
        <v>1</v>
      </c>
      <c r="K60" s="104">
        <v>0.0833333333333333</v>
      </c>
      <c r="L60" s="104">
        <v>0.0833333333333333</v>
      </c>
      <c r="M60" s="104">
        <v>0.0833333333333333</v>
      </c>
      <c r="N60" s="104">
        <v>0.0833333333333333</v>
      </c>
      <c r="O60" s="103"/>
      <c r="P60" s="47" t="s">
        <v>98</v>
      </c>
      <c r="Q60" s="107"/>
    </row>
    <row r="61" s="80" customFormat="1" ht="27.75" hidden="1" customHeight="1" outlineLevel="1" spans="2:17">
      <c r="B61" s="106" t="s">
        <v>172</v>
      </c>
      <c r="C61" s="103"/>
      <c r="D61" s="103"/>
      <c r="E61" s="47"/>
      <c r="F61" s="103"/>
      <c r="G61" s="47" t="s">
        <v>173</v>
      </c>
      <c r="H61" s="61" t="s">
        <v>174</v>
      </c>
      <c r="I61" s="103" t="s">
        <v>58</v>
      </c>
      <c r="J61" s="103">
        <v>1</v>
      </c>
      <c r="K61" s="104">
        <v>0.0833333333333333</v>
      </c>
      <c r="L61" s="104">
        <v>0.125</v>
      </c>
      <c r="M61" s="104">
        <v>0.108333333333333</v>
      </c>
      <c r="N61" s="104">
        <v>0.1125</v>
      </c>
      <c r="O61" s="103"/>
      <c r="P61" s="47" t="s">
        <v>98</v>
      </c>
      <c r="Q61" s="107"/>
    </row>
    <row r="62" s="80" customFormat="1" ht="95.25" hidden="1" customHeight="1" outlineLevel="1" spans="2:17">
      <c r="B62" s="106" t="s">
        <v>175</v>
      </c>
      <c r="C62" s="103"/>
      <c r="D62" s="103"/>
      <c r="E62" s="47"/>
      <c r="F62" s="103"/>
      <c r="G62" s="47" t="s">
        <v>176</v>
      </c>
      <c r="H62" s="61" t="s">
        <v>177</v>
      </c>
      <c r="I62" s="103" t="s">
        <v>58</v>
      </c>
      <c r="J62" s="103">
        <v>1</v>
      </c>
      <c r="K62" s="104">
        <v>0.25</v>
      </c>
      <c r="L62" s="104">
        <v>0.375</v>
      </c>
      <c r="M62" s="104">
        <v>0.325</v>
      </c>
      <c r="N62" s="104">
        <v>0.3375</v>
      </c>
      <c r="O62" s="103"/>
      <c r="P62" s="47" t="s">
        <v>98</v>
      </c>
      <c r="Q62" s="107"/>
    </row>
    <row r="63" ht="18" customHeight="1" spans="2:17">
      <c r="B63" s="99">
        <v>18</v>
      </c>
      <c r="C63" s="100" t="s">
        <v>39</v>
      </c>
      <c r="D63" s="100" t="s">
        <v>68</v>
      </c>
      <c r="E63" s="100" t="s">
        <v>82</v>
      </c>
      <c r="F63" s="100" t="s">
        <v>83</v>
      </c>
      <c r="G63" s="100" t="s">
        <v>178</v>
      </c>
      <c r="H63" s="100" t="s">
        <v>70</v>
      </c>
      <c r="I63" s="99" t="s">
        <v>71</v>
      </c>
      <c r="J63" s="99">
        <v>1</v>
      </c>
      <c r="K63" s="101">
        <v>8</v>
      </c>
      <c r="L63" s="99">
        <f>$K63*1.5</f>
        <v>12</v>
      </c>
      <c r="M63" s="99">
        <f>$K63*1.3</f>
        <v>10.4</v>
      </c>
      <c r="N63" s="99">
        <f>$K63*1.35</f>
        <v>10.8</v>
      </c>
      <c r="O63" s="99" t="s">
        <v>46</v>
      </c>
      <c r="P63" s="102" t="s">
        <v>72</v>
      </c>
    </row>
    <row r="64" ht="18" customHeight="1" spans="2:17">
      <c r="B64" s="99">
        <v>19</v>
      </c>
      <c r="C64" s="100" t="s">
        <v>39</v>
      </c>
      <c r="D64" s="100" t="s">
        <v>68</v>
      </c>
      <c r="E64" s="100" t="s">
        <v>82</v>
      </c>
      <c r="F64" s="100" t="s">
        <v>83</v>
      </c>
      <c r="G64" s="100" t="s">
        <v>179</v>
      </c>
      <c r="H64" s="100" t="s">
        <v>74</v>
      </c>
      <c r="I64" s="99" t="s">
        <v>71</v>
      </c>
      <c r="J64" s="99">
        <v>1</v>
      </c>
      <c r="K64" s="101">
        <v>6</v>
      </c>
      <c r="L64" s="99">
        <f>$K64*1.5</f>
        <v>9</v>
      </c>
      <c r="M64" s="99">
        <f>$K64*1.3</f>
        <v>7.8</v>
      </c>
      <c r="N64" s="99">
        <f>$K64*1.35</f>
        <v>8.1</v>
      </c>
      <c r="O64" s="99" t="s">
        <v>46</v>
      </c>
      <c r="P64" s="102" t="s">
        <v>72</v>
      </c>
    </row>
    <row r="65" ht="18" customHeight="1" spans="2:16">
      <c r="B65" s="99">
        <v>20</v>
      </c>
      <c r="C65" s="100" t="s">
        <v>39</v>
      </c>
      <c r="D65" s="100" t="s">
        <v>68</v>
      </c>
      <c r="E65" s="100" t="s">
        <v>82</v>
      </c>
      <c r="F65" s="100" t="s">
        <v>83</v>
      </c>
      <c r="G65" s="100" t="s">
        <v>180</v>
      </c>
      <c r="H65" s="100" t="s">
        <v>76</v>
      </c>
      <c r="I65" s="99" t="s">
        <v>71</v>
      </c>
      <c r="J65" s="99">
        <v>1</v>
      </c>
      <c r="K65" s="101">
        <v>4</v>
      </c>
      <c r="L65" s="99">
        <f>$K65*1.5</f>
        <v>6</v>
      </c>
      <c r="M65" s="99">
        <f>$K65*1.3</f>
        <v>5.2</v>
      </c>
      <c r="N65" s="99">
        <f>$K65*1.35</f>
        <v>5.4</v>
      </c>
      <c r="O65" s="99" t="s">
        <v>46</v>
      </c>
      <c r="P65" s="102" t="s">
        <v>72</v>
      </c>
    </row>
    <row r="66" ht="18" customHeight="1" spans="2:16">
      <c r="B66" s="99">
        <v>21</v>
      </c>
      <c r="C66" s="100" t="s">
        <v>39</v>
      </c>
      <c r="D66" s="100" t="s">
        <v>68</v>
      </c>
      <c r="E66" s="100" t="s">
        <v>82</v>
      </c>
      <c r="F66" s="100" t="s">
        <v>83</v>
      </c>
      <c r="G66" s="100" t="s">
        <v>181</v>
      </c>
      <c r="H66" s="100" t="s">
        <v>78</v>
      </c>
      <c r="I66" s="99" t="s">
        <v>71</v>
      </c>
      <c r="J66" s="99">
        <v>1</v>
      </c>
      <c r="K66" s="101">
        <v>2</v>
      </c>
      <c r="L66" s="99">
        <f>$K66*1.5</f>
        <v>3</v>
      </c>
      <c r="M66" s="99">
        <f>$K66*1.3</f>
        <v>2.6</v>
      </c>
      <c r="N66" s="99">
        <f>$K66*1.35</f>
        <v>2.7</v>
      </c>
      <c r="O66" s="99" t="s">
        <v>46</v>
      </c>
      <c r="P66" s="102" t="s">
        <v>72</v>
      </c>
    </row>
    <row r="67" ht="18" customHeight="1" collapsed="1" spans="2:16">
      <c r="B67" s="99">
        <v>22</v>
      </c>
      <c r="C67" s="100" t="s">
        <v>39</v>
      </c>
      <c r="D67" s="100" t="s">
        <v>39</v>
      </c>
      <c r="E67" s="100" t="s">
        <v>82</v>
      </c>
      <c r="F67" s="100" t="s">
        <v>182</v>
      </c>
      <c r="G67" s="100" t="s">
        <v>183</v>
      </c>
      <c r="H67" s="100" t="s">
        <v>184</v>
      </c>
      <c r="I67" s="99" t="s">
        <v>58</v>
      </c>
      <c r="J67" s="99">
        <v>1</v>
      </c>
      <c r="K67" s="101">
        <f>SUM(K68:K151)</f>
        <v>5.69666666666666</v>
      </c>
      <c r="L67" s="101">
        <f>SUM(L68:L151)</f>
        <v>6.53333333333333</v>
      </c>
      <c r="M67" s="101">
        <f>SUM(M68:M151)</f>
        <v>6.11333333333333</v>
      </c>
      <c r="N67" s="101">
        <f>SUM(N68:N151)</f>
        <v>6.11333333333333</v>
      </c>
      <c r="O67" s="99" t="s">
        <v>46</v>
      </c>
      <c r="P67" s="102"/>
    </row>
    <row r="68" hidden="1" customHeight="1" outlineLevel="1" spans="2:16">
      <c r="B68" s="109" t="s">
        <v>185</v>
      </c>
      <c r="C68" s="47"/>
      <c r="D68" s="47"/>
      <c r="E68" s="47"/>
      <c r="F68" s="47" t="s">
        <v>182</v>
      </c>
      <c r="G68" s="47" t="s">
        <v>186</v>
      </c>
      <c r="H68" s="47" t="s">
        <v>187</v>
      </c>
      <c r="I68" s="46" t="s">
        <v>58</v>
      </c>
      <c r="J68" s="46">
        <v>1</v>
      </c>
      <c r="K68" s="98">
        <v>0.0833333333333333</v>
      </c>
      <c r="L68" s="98">
        <v>0.12</v>
      </c>
      <c r="M68" s="98">
        <v>0.1</v>
      </c>
      <c r="N68" s="98">
        <v>0.1</v>
      </c>
      <c r="O68" s="46"/>
      <c r="P68" s="5"/>
    </row>
    <row r="69" ht="27.75" hidden="1" customHeight="1" outlineLevel="1" spans="2:16">
      <c r="B69" s="109" t="s">
        <v>188</v>
      </c>
      <c r="C69" s="47"/>
      <c r="D69" s="47"/>
      <c r="E69" s="47"/>
      <c r="F69" s="47" t="s">
        <v>182</v>
      </c>
      <c r="G69" s="47" t="s">
        <v>189</v>
      </c>
      <c r="H69" s="61" t="s">
        <v>190</v>
      </c>
      <c r="I69" s="46" t="s">
        <v>58</v>
      </c>
      <c r="J69" s="46">
        <v>1</v>
      </c>
      <c r="K69" s="98">
        <v>0.0833333333333333</v>
      </c>
      <c r="L69" s="98">
        <v>0.12</v>
      </c>
      <c r="M69" s="98">
        <v>0.1</v>
      </c>
      <c r="N69" s="98">
        <v>0.1</v>
      </c>
      <c r="O69" s="46"/>
      <c r="P69" s="5"/>
    </row>
    <row r="70" hidden="1" customHeight="1" outlineLevel="1" spans="2:16">
      <c r="B70" s="109" t="s">
        <v>191</v>
      </c>
      <c r="C70" s="47"/>
      <c r="D70" s="47"/>
      <c r="E70" s="47"/>
      <c r="F70" s="47" t="s">
        <v>182</v>
      </c>
      <c r="G70" s="47" t="s">
        <v>192</v>
      </c>
      <c r="H70" s="47" t="s">
        <v>193</v>
      </c>
      <c r="I70" s="46" t="s">
        <v>58</v>
      </c>
      <c r="J70" s="46">
        <v>1</v>
      </c>
      <c r="K70" s="98">
        <v>0.0833333333333333</v>
      </c>
      <c r="L70" s="98">
        <v>0.12</v>
      </c>
      <c r="M70" s="98">
        <v>0.1</v>
      </c>
      <c r="N70" s="98">
        <v>0.1</v>
      </c>
      <c r="O70" s="46"/>
      <c r="P70" s="5"/>
    </row>
    <row r="71" hidden="1" customHeight="1" outlineLevel="1" spans="2:16">
      <c r="B71" s="109" t="s">
        <v>194</v>
      </c>
      <c r="C71" s="47"/>
      <c r="D71" s="47"/>
      <c r="E71" s="47"/>
      <c r="F71" s="47" t="s">
        <v>182</v>
      </c>
      <c r="G71" s="47" t="s">
        <v>103</v>
      </c>
      <c r="H71" s="47" t="s">
        <v>195</v>
      </c>
      <c r="I71" s="46" t="s">
        <v>58</v>
      </c>
      <c r="J71" s="46">
        <v>1</v>
      </c>
      <c r="K71" s="98">
        <v>0.0833333333333333</v>
      </c>
      <c r="L71" s="98">
        <v>0.12</v>
      </c>
      <c r="M71" s="98">
        <v>0.1</v>
      </c>
      <c r="N71" s="98">
        <v>0.1</v>
      </c>
      <c r="O71" s="46"/>
      <c r="P71" s="5"/>
    </row>
    <row r="72" hidden="1" customHeight="1" outlineLevel="1" spans="2:16">
      <c r="B72" s="109" t="s">
        <v>196</v>
      </c>
      <c r="C72" s="47"/>
      <c r="D72" s="47"/>
      <c r="E72" s="47"/>
      <c r="F72" s="47" t="s">
        <v>182</v>
      </c>
      <c r="G72" s="47"/>
      <c r="H72" s="47" t="s">
        <v>197</v>
      </c>
      <c r="I72" s="46" t="s">
        <v>58</v>
      </c>
      <c r="J72" s="46">
        <v>1</v>
      </c>
      <c r="K72" s="98">
        <v>0.0833333333333333</v>
      </c>
      <c r="L72" s="98">
        <v>0.12</v>
      </c>
      <c r="M72" s="98">
        <v>0.1</v>
      </c>
      <c r="N72" s="98">
        <v>0.1</v>
      </c>
      <c r="O72" s="46"/>
      <c r="P72" s="5"/>
    </row>
    <row r="73" hidden="1" customHeight="1" outlineLevel="1" spans="2:16">
      <c r="B73" s="109" t="s">
        <v>198</v>
      </c>
      <c r="C73" s="47"/>
      <c r="D73" s="47"/>
      <c r="E73" s="47"/>
      <c r="F73" s="47" t="s">
        <v>182</v>
      </c>
      <c r="G73" s="47"/>
      <c r="H73" s="47" t="s">
        <v>199</v>
      </c>
      <c r="I73" s="46" t="s">
        <v>58</v>
      </c>
      <c r="J73" s="46">
        <v>1</v>
      </c>
      <c r="K73" s="98">
        <v>0.0833333333333333</v>
      </c>
      <c r="L73" s="98">
        <v>0.12</v>
      </c>
      <c r="M73" s="98">
        <v>0.1</v>
      </c>
      <c r="N73" s="98">
        <v>0.1</v>
      </c>
      <c r="O73" s="46"/>
      <c r="P73" s="5"/>
    </row>
    <row r="74" hidden="1" customHeight="1" outlineLevel="1" spans="2:16">
      <c r="B74" s="109" t="s">
        <v>200</v>
      </c>
      <c r="C74" s="47"/>
      <c r="D74" s="47"/>
      <c r="E74" s="47"/>
      <c r="F74" s="47" t="s">
        <v>182</v>
      </c>
      <c r="G74" s="47"/>
      <c r="H74" s="47" t="s">
        <v>201</v>
      </c>
      <c r="I74" s="46" t="s">
        <v>58</v>
      </c>
      <c r="J74" s="46">
        <v>1</v>
      </c>
      <c r="K74" s="98">
        <v>0.0833333333333333</v>
      </c>
      <c r="L74" s="98">
        <v>0.12</v>
      </c>
      <c r="M74" s="98">
        <v>0.1</v>
      </c>
      <c r="N74" s="98">
        <v>0.1</v>
      </c>
      <c r="O74" s="46"/>
      <c r="P74" s="5"/>
    </row>
    <row r="75" hidden="1" customHeight="1" outlineLevel="1" spans="2:16">
      <c r="B75" s="109" t="s">
        <v>202</v>
      </c>
      <c r="C75" s="47"/>
      <c r="D75" s="47"/>
      <c r="E75" s="47"/>
      <c r="F75" s="47" t="s">
        <v>182</v>
      </c>
      <c r="G75" s="47" t="s">
        <v>203</v>
      </c>
      <c r="H75" s="47" t="s">
        <v>204</v>
      </c>
      <c r="I75" s="46" t="s">
        <v>58</v>
      </c>
      <c r="J75" s="46">
        <v>1</v>
      </c>
      <c r="K75" s="98">
        <v>0.0833333333333333</v>
      </c>
      <c r="L75" s="98">
        <v>0.12</v>
      </c>
      <c r="M75" s="98">
        <v>0.1</v>
      </c>
      <c r="N75" s="98">
        <v>0.1</v>
      </c>
      <c r="O75" s="46"/>
      <c r="P75" s="5"/>
    </row>
    <row r="76" hidden="1" customHeight="1" outlineLevel="1" spans="2:16">
      <c r="B76" s="109" t="s">
        <v>205</v>
      </c>
      <c r="C76" s="47"/>
      <c r="D76" s="47"/>
      <c r="E76" s="47"/>
      <c r="F76" s="47" t="s">
        <v>182</v>
      </c>
      <c r="G76" s="47" t="s">
        <v>206</v>
      </c>
      <c r="H76" s="47" t="s">
        <v>207</v>
      </c>
      <c r="I76" s="46" t="s">
        <v>58</v>
      </c>
      <c r="J76" s="46">
        <v>1</v>
      </c>
      <c r="K76" s="98">
        <v>0.0833333333333333</v>
      </c>
      <c r="L76" s="98">
        <v>0.12</v>
      </c>
      <c r="M76" s="98">
        <v>0.1</v>
      </c>
      <c r="N76" s="98">
        <v>0.1</v>
      </c>
      <c r="O76" s="46"/>
      <c r="P76" s="5"/>
    </row>
    <row r="77" ht="54.75" hidden="1" customHeight="1" outlineLevel="1" spans="2:16">
      <c r="B77" s="109" t="s">
        <v>208</v>
      </c>
      <c r="C77" s="47"/>
      <c r="D77" s="47"/>
      <c r="E77" s="47"/>
      <c r="F77" s="47" t="s">
        <v>182</v>
      </c>
      <c r="G77" s="47" t="s">
        <v>209</v>
      </c>
      <c r="H77" s="61" t="s">
        <v>210</v>
      </c>
      <c r="I77" s="46" t="s">
        <v>58</v>
      </c>
      <c r="J77" s="46">
        <v>1</v>
      </c>
      <c r="K77" s="98">
        <v>0.25</v>
      </c>
      <c r="L77" s="98">
        <v>0.3</v>
      </c>
      <c r="M77" s="98">
        <v>0.3</v>
      </c>
      <c r="N77" s="98">
        <v>0.3</v>
      </c>
      <c r="O77" s="46"/>
      <c r="P77" s="5"/>
    </row>
    <row r="78" ht="54.75" hidden="1" customHeight="1" outlineLevel="1" spans="2:16">
      <c r="B78" s="109" t="s">
        <v>211</v>
      </c>
      <c r="C78" s="47"/>
      <c r="D78" s="47"/>
      <c r="E78" s="47"/>
      <c r="F78" s="47" t="s">
        <v>182</v>
      </c>
      <c r="G78" s="47" t="s">
        <v>212</v>
      </c>
      <c r="H78" s="61" t="s">
        <v>213</v>
      </c>
      <c r="I78" s="46" t="s">
        <v>58</v>
      </c>
      <c r="J78" s="46">
        <v>1</v>
      </c>
      <c r="K78" s="98">
        <v>0.416666666666667</v>
      </c>
      <c r="L78" s="98">
        <v>0.3</v>
      </c>
      <c r="M78" s="98">
        <v>0.3</v>
      </c>
      <c r="N78" s="98">
        <v>0.3</v>
      </c>
      <c r="O78" s="46"/>
      <c r="P78" s="5"/>
    </row>
    <row r="79" ht="41.25" hidden="1" customHeight="1" outlineLevel="1" spans="2:16">
      <c r="B79" s="109" t="s">
        <v>214</v>
      </c>
      <c r="C79" s="47"/>
      <c r="D79" s="47"/>
      <c r="E79" s="47"/>
      <c r="F79" s="47" t="s">
        <v>182</v>
      </c>
      <c r="G79" s="47" t="s">
        <v>215</v>
      </c>
      <c r="H79" s="61" t="s">
        <v>216</v>
      </c>
      <c r="I79" s="46" t="s">
        <v>58</v>
      </c>
      <c r="J79" s="46">
        <v>1</v>
      </c>
      <c r="K79" s="98">
        <v>0.25</v>
      </c>
      <c r="L79" s="98">
        <v>0.3</v>
      </c>
      <c r="M79" s="98">
        <v>0.3</v>
      </c>
      <c r="N79" s="98">
        <v>0.3</v>
      </c>
      <c r="O79" s="46"/>
      <c r="P79" s="5"/>
    </row>
    <row r="80" hidden="1" customHeight="1" outlineLevel="1" spans="2:16">
      <c r="B80" s="109" t="s">
        <v>217</v>
      </c>
      <c r="C80" s="47"/>
      <c r="D80" s="47"/>
      <c r="E80" s="47"/>
      <c r="F80" s="47" t="s">
        <v>182</v>
      </c>
      <c r="G80" s="47" t="s">
        <v>218</v>
      </c>
      <c r="H80" s="47" t="s">
        <v>219</v>
      </c>
      <c r="I80" s="46" t="s">
        <v>58</v>
      </c>
      <c r="J80" s="46">
        <v>1</v>
      </c>
      <c r="K80" s="98">
        <v>0.0833333333333333</v>
      </c>
      <c r="L80" s="98">
        <v>0.12</v>
      </c>
      <c r="M80" s="98">
        <v>0.1</v>
      </c>
      <c r="N80" s="98">
        <v>0.1</v>
      </c>
      <c r="O80" s="46"/>
      <c r="P80" s="5"/>
    </row>
    <row r="81" hidden="1" customHeight="1" outlineLevel="1" spans="2:16">
      <c r="B81" s="109" t="s">
        <v>220</v>
      </c>
      <c r="C81" s="47"/>
      <c r="D81" s="47"/>
      <c r="E81" s="47"/>
      <c r="F81" s="47" t="s">
        <v>182</v>
      </c>
      <c r="G81" s="47"/>
      <c r="H81" s="47" t="s">
        <v>221</v>
      </c>
      <c r="I81" s="46" t="s">
        <v>58</v>
      </c>
      <c r="J81" s="46">
        <v>1</v>
      </c>
      <c r="K81" s="98">
        <v>0.0833333333333333</v>
      </c>
      <c r="L81" s="98">
        <v>0.12</v>
      </c>
      <c r="M81" s="98">
        <v>0.1</v>
      </c>
      <c r="N81" s="98">
        <v>0.1</v>
      </c>
      <c r="O81" s="46"/>
      <c r="P81" s="5"/>
    </row>
    <row r="82" hidden="1" customHeight="1" outlineLevel="1" spans="2:16">
      <c r="B82" s="109" t="s">
        <v>222</v>
      </c>
      <c r="C82" s="47"/>
      <c r="D82" s="47"/>
      <c r="E82" s="47"/>
      <c r="F82" s="47" t="s">
        <v>182</v>
      </c>
      <c r="G82" s="47"/>
      <c r="H82" s="47" t="s">
        <v>223</v>
      </c>
      <c r="I82" s="46" t="s">
        <v>58</v>
      </c>
      <c r="J82" s="46">
        <v>1</v>
      </c>
      <c r="K82" s="98">
        <v>0.0833333333333333</v>
      </c>
      <c r="L82" s="98">
        <v>0.12</v>
      </c>
      <c r="M82" s="98">
        <v>0.1</v>
      </c>
      <c r="N82" s="98">
        <v>0.1</v>
      </c>
      <c r="O82" s="46"/>
      <c r="P82" s="5"/>
    </row>
    <row r="83" hidden="1" customHeight="1" outlineLevel="1" spans="2:16">
      <c r="B83" s="109" t="s">
        <v>224</v>
      </c>
      <c r="C83" s="47"/>
      <c r="D83" s="47"/>
      <c r="E83" s="47"/>
      <c r="F83" s="47" t="s">
        <v>182</v>
      </c>
      <c r="G83" s="47"/>
      <c r="H83" s="47" t="s">
        <v>225</v>
      </c>
      <c r="I83" s="46" t="s">
        <v>58</v>
      </c>
      <c r="J83" s="46">
        <v>1</v>
      </c>
      <c r="K83" s="98">
        <v>0.0833333333333333</v>
      </c>
      <c r="L83" s="98">
        <v>0.12</v>
      </c>
      <c r="M83" s="98">
        <v>0.1</v>
      </c>
      <c r="N83" s="98">
        <v>0.1</v>
      </c>
      <c r="O83" s="46"/>
      <c r="P83" s="5"/>
    </row>
    <row r="84" hidden="1" customHeight="1" outlineLevel="1" spans="2:16">
      <c r="B84" s="109" t="s">
        <v>226</v>
      </c>
      <c r="C84" s="47"/>
      <c r="D84" s="47"/>
      <c r="E84" s="47"/>
      <c r="F84" s="47" t="s">
        <v>182</v>
      </c>
      <c r="G84" s="47"/>
      <c r="H84" s="47" t="s">
        <v>227</v>
      </c>
      <c r="I84" s="46" t="s">
        <v>58</v>
      </c>
      <c r="J84" s="46">
        <v>1</v>
      </c>
      <c r="K84" s="98">
        <v>0.0833333333333333</v>
      </c>
      <c r="L84" s="98">
        <v>0.12</v>
      </c>
      <c r="M84" s="98">
        <v>0.1</v>
      </c>
      <c r="N84" s="98">
        <v>0.1</v>
      </c>
      <c r="O84" s="46"/>
      <c r="P84" s="5"/>
    </row>
    <row r="85" ht="27.75" hidden="1" customHeight="1" outlineLevel="1" spans="2:16">
      <c r="B85" s="109" t="s">
        <v>228</v>
      </c>
      <c r="C85" s="47"/>
      <c r="D85" s="47"/>
      <c r="E85" s="47"/>
      <c r="F85" s="47" t="s">
        <v>182</v>
      </c>
      <c r="G85" s="47"/>
      <c r="H85" s="61" t="s">
        <v>229</v>
      </c>
      <c r="I85" s="46" t="s">
        <v>58</v>
      </c>
      <c r="J85" s="46">
        <v>1</v>
      </c>
      <c r="K85" s="98">
        <v>0.0833333333333333</v>
      </c>
      <c r="L85" s="98">
        <v>0.12</v>
      </c>
      <c r="M85" s="98">
        <v>0.1</v>
      </c>
      <c r="N85" s="98">
        <v>0.1</v>
      </c>
      <c r="O85" s="46"/>
      <c r="P85" s="5"/>
    </row>
    <row r="86" hidden="1" customHeight="1" outlineLevel="1" spans="2:16">
      <c r="B86" s="109" t="s">
        <v>230</v>
      </c>
      <c r="C86" s="47"/>
      <c r="D86" s="47"/>
      <c r="E86" s="47"/>
      <c r="F86" s="47" t="s">
        <v>182</v>
      </c>
      <c r="G86" s="47" t="s">
        <v>231</v>
      </c>
      <c r="H86" s="47" t="s">
        <v>232</v>
      </c>
      <c r="I86" s="46" t="s">
        <v>58</v>
      </c>
      <c r="J86" s="46">
        <v>1</v>
      </c>
      <c r="K86" s="98">
        <v>0.0833333333333333</v>
      </c>
      <c r="L86" s="98">
        <v>0.12</v>
      </c>
      <c r="M86" s="98">
        <v>0.1</v>
      </c>
      <c r="N86" s="98">
        <v>0.1</v>
      </c>
      <c r="O86" s="46"/>
      <c r="P86" s="5"/>
    </row>
    <row r="87" hidden="1" customHeight="1" outlineLevel="1" spans="2:16">
      <c r="B87" s="109" t="s">
        <v>233</v>
      </c>
      <c r="C87" s="47"/>
      <c r="D87" s="47"/>
      <c r="E87" s="47"/>
      <c r="F87" s="47" t="s">
        <v>182</v>
      </c>
      <c r="G87" s="47"/>
      <c r="H87" s="47" t="s">
        <v>234</v>
      </c>
      <c r="I87" s="46" t="s">
        <v>58</v>
      </c>
      <c r="J87" s="46">
        <v>1</v>
      </c>
      <c r="K87" s="98">
        <v>0.0833333333333333</v>
      </c>
      <c r="L87" s="98">
        <v>0.12</v>
      </c>
      <c r="M87" s="98">
        <v>0.1</v>
      </c>
      <c r="N87" s="98">
        <v>0.1</v>
      </c>
      <c r="O87" s="46"/>
      <c r="P87" s="5"/>
    </row>
    <row r="88" hidden="1" customHeight="1" outlineLevel="1" spans="2:16">
      <c r="B88" s="109" t="s">
        <v>235</v>
      </c>
      <c r="C88" s="47"/>
      <c r="D88" s="47"/>
      <c r="E88" s="47"/>
      <c r="F88" s="47" t="s">
        <v>182</v>
      </c>
      <c r="G88" s="47"/>
      <c r="H88" s="47" t="s">
        <v>236</v>
      </c>
      <c r="I88" s="46" t="s">
        <v>58</v>
      </c>
      <c r="J88" s="46">
        <v>1</v>
      </c>
      <c r="K88" s="98">
        <v>0.166666666666667</v>
      </c>
      <c r="L88" s="98">
        <v>0.25</v>
      </c>
      <c r="M88" s="98">
        <v>0.25</v>
      </c>
      <c r="N88" s="98">
        <v>0.25</v>
      </c>
      <c r="O88" s="46"/>
      <c r="P88" s="5"/>
    </row>
    <row r="89" hidden="1" customHeight="1" outlineLevel="1" spans="2:16">
      <c r="B89" s="109" t="s">
        <v>237</v>
      </c>
      <c r="C89" s="47"/>
      <c r="D89" s="47"/>
      <c r="E89" s="47"/>
      <c r="F89" s="47" t="s">
        <v>182</v>
      </c>
      <c r="G89" s="47" t="s">
        <v>238</v>
      </c>
      <c r="H89" s="47" t="s">
        <v>239</v>
      </c>
      <c r="I89" s="46" t="s">
        <v>58</v>
      </c>
      <c r="J89" s="46">
        <v>1</v>
      </c>
      <c r="K89" s="98">
        <v>0.0333333333333333</v>
      </c>
      <c r="L89" s="98">
        <v>0.0333333333333333</v>
      </c>
      <c r="M89" s="98">
        <v>0.0333333333333333</v>
      </c>
      <c r="N89" s="98">
        <v>0.0333333333333333</v>
      </c>
      <c r="O89" s="46"/>
      <c r="P89" s="5"/>
    </row>
    <row r="90" hidden="1" customHeight="1" outlineLevel="1" spans="2:16">
      <c r="B90" s="109" t="s">
        <v>240</v>
      </c>
      <c r="C90" s="47"/>
      <c r="D90" s="47"/>
      <c r="E90" s="47"/>
      <c r="F90" s="47" t="s">
        <v>182</v>
      </c>
      <c r="G90" s="47"/>
      <c r="H90" s="47" t="s">
        <v>241</v>
      </c>
      <c r="I90" s="46" t="s">
        <v>58</v>
      </c>
      <c r="J90" s="46">
        <v>1</v>
      </c>
      <c r="K90" s="98">
        <v>0.0833333333333333</v>
      </c>
      <c r="L90" s="98">
        <v>0.12</v>
      </c>
      <c r="M90" s="98">
        <v>0.1</v>
      </c>
      <c r="N90" s="98">
        <v>0.1</v>
      </c>
      <c r="O90" s="46"/>
      <c r="P90" s="5"/>
    </row>
    <row r="91" hidden="1" customHeight="1" outlineLevel="1" spans="2:16">
      <c r="B91" s="109" t="s">
        <v>242</v>
      </c>
      <c r="C91" s="47"/>
      <c r="D91" s="47"/>
      <c r="E91" s="47"/>
      <c r="F91" s="47" t="s">
        <v>182</v>
      </c>
      <c r="G91" s="47"/>
      <c r="H91" s="47" t="s">
        <v>243</v>
      </c>
      <c r="I91" s="46" t="s">
        <v>58</v>
      </c>
      <c r="J91" s="46">
        <v>1</v>
      </c>
      <c r="K91" s="98">
        <v>0.0833333333333333</v>
      </c>
      <c r="L91" s="98">
        <v>0.12</v>
      </c>
      <c r="M91" s="98">
        <v>0.1</v>
      </c>
      <c r="N91" s="98">
        <v>0.1</v>
      </c>
      <c r="O91" s="46"/>
      <c r="P91" s="5"/>
    </row>
    <row r="92" hidden="1" customHeight="1" outlineLevel="1" spans="2:16">
      <c r="B92" s="109" t="s">
        <v>244</v>
      </c>
      <c r="C92" s="47"/>
      <c r="D92" s="47"/>
      <c r="E92" s="47"/>
      <c r="F92" s="47" t="s">
        <v>182</v>
      </c>
      <c r="G92" s="47"/>
      <c r="H92" s="47" t="s">
        <v>245</v>
      </c>
      <c r="I92" s="46" t="s">
        <v>58</v>
      </c>
      <c r="J92" s="46">
        <v>1</v>
      </c>
      <c r="K92" s="98">
        <v>0.0833333333333333</v>
      </c>
      <c r="L92" s="98">
        <v>0.12</v>
      </c>
      <c r="M92" s="98">
        <v>0.1</v>
      </c>
      <c r="N92" s="98">
        <v>0.1</v>
      </c>
      <c r="O92" s="46"/>
      <c r="P92" s="5"/>
    </row>
    <row r="93" hidden="1" customHeight="1" outlineLevel="1" spans="2:16">
      <c r="B93" s="109" t="s">
        <v>246</v>
      </c>
      <c r="C93" s="47"/>
      <c r="D93" s="47"/>
      <c r="E93" s="47"/>
      <c r="F93" s="47" t="s">
        <v>182</v>
      </c>
      <c r="G93" s="47" t="s">
        <v>247</v>
      </c>
      <c r="H93" s="47" t="s">
        <v>248</v>
      </c>
      <c r="I93" s="46" t="s">
        <v>58</v>
      </c>
      <c r="J93" s="46">
        <v>1</v>
      </c>
      <c r="K93" s="98">
        <v>0.0333333333333333</v>
      </c>
      <c r="L93" s="98">
        <v>0.0333333333333333</v>
      </c>
      <c r="M93" s="98">
        <v>0.0333333333333333</v>
      </c>
      <c r="N93" s="98">
        <v>0.0333333333333333</v>
      </c>
      <c r="O93" s="46"/>
      <c r="P93" s="5"/>
    </row>
    <row r="94" hidden="1" customHeight="1" outlineLevel="1" spans="2:16">
      <c r="B94" s="109" t="s">
        <v>249</v>
      </c>
      <c r="C94" s="47"/>
      <c r="D94" s="47"/>
      <c r="E94" s="47"/>
      <c r="F94" s="47" t="s">
        <v>182</v>
      </c>
      <c r="G94" s="47"/>
      <c r="H94" s="47" t="s">
        <v>250</v>
      </c>
      <c r="I94" s="46" t="s">
        <v>58</v>
      </c>
      <c r="J94" s="46">
        <v>1</v>
      </c>
      <c r="K94" s="98">
        <v>0.066</v>
      </c>
      <c r="L94" s="98">
        <v>0.066</v>
      </c>
      <c r="M94" s="98">
        <v>0.066</v>
      </c>
      <c r="N94" s="98">
        <v>0.066</v>
      </c>
      <c r="O94" s="46"/>
      <c r="P94" s="5"/>
    </row>
    <row r="95" hidden="1" customHeight="1" outlineLevel="1" spans="2:16">
      <c r="B95" s="109" t="s">
        <v>251</v>
      </c>
      <c r="C95" s="47"/>
      <c r="D95" s="47"/>
      <c r="E95" s="47"/>
      <c r="F95" s="47" t="s">
        <v>182</v>
      </c>
      <c r="G95" s="47"/>
      <c r="H95" s="47" t="s">
        <v>252</v>
      </c>
      <c r="I95" s="46" t="s">
        <v>58</v>
      </c>
      <c r="J95" s="46">
        <v>1</v>
      </c>
      <c r="K95" s="98">
        <v>0.066</v>
      </c>
      <c r="L95" s="98">
        <v>0.066</v>
      </c>
      <c r="M95" s="98">
        <v>0.066</v>
      </c>
      <c r="N95" s="98">
        <v>0.066</v>
      </c>
      <c r="O95" s="46"/>
      <c r="P95" s="5"/>
    </row>
    <row r="96" hidden="1" customHeight="1" outlineLevel="1" spans="2:16">
      <c r="B96" s="109" t="s">
        <v>253</v>
      </c>
      <c r="C96" s="47"/>
      <c r="D96" s="47"/>
      <c r="E96" s="47"/>
      <c r="F96" s="47" t="s">
        <v>182</v>
      </c>
      <c r="G96" s="47" t="s">
        <v>254</v>
      </c>
      <c r="H96" s="47" t="s">
        <v>255</v>
      </c>
      <c r="I96" s="46" t="s">
        <v>58</v>
      </c>
      <c r="J96" s="46">
        <v>1</v>
      </c>
      <c r="K96" s="98">
        <v>0.0333333333333333</v>
      </c>
      <c r="L96" s="98">
        <v>0.0333333333333333</v>
      </c>
      <c r="M96" s="98">
        <v>0.0333333333333333</v>
      </c>
      <c r="N96" s="98">
        <v>0.0333333333333333</v>
      </c>
      <c r="O96" s="46"/>
      <c r="P96" s="5"/>
    </row>
    <row r="97" ht="27.75" hidden="1" customHeight="1" outlineLevel="1" spans="2:16">
      <c r="B97" s="109" t="s">
        <v>256</v>
      </c>
      <c r="C97" s="47"/>
      <c r="D97" s="47"/>
      <c r="E97" s="47"/>
      <c r="F97" s="47" t="s">
        <v>182</v>
      </c>
      <c r="G97" s="47"/>
      <c r="H97" s="61" t="s">
        <v>257</v>
      </c>
      <c r="I97" s="46" t="s">
        <v>58</v>
      </c>
      <c r="J97" s="46">
        <v>1</v>
      </c>
      <c r="K97" s="98">
        <v>0.0333333333333333</v>
      </c>
      <c r="L97" s="98">
        <v>0.0333333333333333</v>
      </c>
      <c r="M97" s="98">
        <v>0.0333333333333333</v>
      </c>
      <c r="N97" s="98">
        <v>0.0333333333333333</v>
      </c>
      <c r="O97" s="46"/>
      <c r="P97" s="5"/>
    </row>
    <row r="98" hidden="1" customHeight="1" outlineLevel="1" spans="2:16">
      <c r="B98" s="109" t="s">
        <v>258</v>
      </c>
      <c r="C98" s="47"/>
      <c r="D98" s="47"/>
      <c r="E98" s="47"/>
      <c r="F98" s="47" t="s">
        <v>182</v>
      </c>
      <c r="G98" s="47"/>
      <c r="H98" s="47" t="s">
        <v>259</v>
      </c>
      <c r="I98" s="46" t="s">
        <v>58</v>
      </c>
      <c r="J98" s="46">
        <v>1</v>
      </c>
      <c r="K98" s="98">
        <v>0.0333333333333333</v>
      </c>
      <c r="L98" s="98">
        <v>0.0333333333333333</v>
      </c>
      <c r="M98" s="98">
        <v>0.0333333333333333</v>
      </c>
      <c r="N98" s="98">
        <v>0.0333333333333333</v>
      </c>
      <c r="O98" s="46"/>
      <c r="P98" s="5"/>
    </row>
    <row r="99" hidden="1" customHeight="1" outlineLevel="1" spans="2:16">
      <c r="B99" s="109" t="s">
        <v>260</v>
      </c>
      <c r="C99" s="47"/>
      <c r="D99" s="47"/>
      <c r="E99" s="47"/>
      <c r="F99" s="47" t="s">
        <v>182</v>
      </c>
      <c r="G99" s="47"/>
      <c r="H99" s="47" t="s">
        <v>252</v>
      </c>
      <c r="I99" s="46" t="s">
        <v>58</v>
      </c>
      <c r="J99" s="46">
        <v>1</v>
      </c>
      <c r="K99" s="98">
        <v>0.0333333333333333</v>
      </c>
      <c r="L99" s="98">
        <v>0.0333333333333333</v>
      </c>
      <c r="M99" s="98">
        <v>0.0333333333333333</v>
      </c>
      <c r="N99" s="98">
        <v>0.0333333333333333</v>
      </c>
      <c r="O99" s="46"/>
      <c r="P99" s="5"/>
    </row>
    <row r="100" hidden="1" customHeight="1" outlineLevel="1" spans="2:16">
      <c r="B100" s="109" t="s">
        <v>261</v>
      </c>
      <c r="C100" s="47"/>
      <c r="D100" s="47"/>
      <c r="E100" s="47"/>
      <c r="F100" s="47" t="s">
        <v>182</v>
      </c>
      <c r="G100" s="47"/>
      <c r="H100" s="47" t="s">
        <v>262</v>
      </c>
      <c r="I100" s="46" t="s">
        <v>58</v>
      </c>
      <c r="J100" s="46">
        <v>1</v>
      </c>
      <c r="K100" s="98">
        <v>0.0333333333333333</v>
      </c>
      <c r="L100" s="98">
        <v>0.0333333333333333</v>
      </c>
      <c r="M100" s="98">
        <v>0.0333333333333333</v>
      </c>
      <c r="N100" s="98">
        <v>0.0333333333333333</v>
      </c>
      <c r="O100" s="46"/>
      <c r="P100" s="5"/>
    </row>
    <row r="101" hidden="1" customHeight="1" outlineLevel="1" spans="2:16">
      <c r="B101" s="109" t="s">
        <v>263</v>
      </c>
      <c r="C101" s="47"/>
      <c r="D101" s="47"/>
      <c r="E101" s="47"/>
      <c r="F101" s="47" t="s">
        <v>182</v>
      </c>
      <c r="G101" s="47"/>
      <c r="H101" s="47" t="s">
        <v>264</v>
      </c>
      <c r="I101" s="46" t="s">
        <v>58</v>
      </c>
      <c r="J101" s="46">
        <v>1</v>
      </c>
      <c r="K101" s="98">
        <v>0.0333333333333333</v>
      </c>
      <c r="L101" s="98">
        <v>0.0333333333333333</v>
      </c>
      <c r="M101" s="98">
        <v>0.0333333333333333</v>
      </c>
      <c r="N101" s="98">
        <v>0.0333333333333333</v>
      </c>
      <c r="O101" s="46"/>
      <c r="P101" s="5"/>
    </row>
    <row r="102" hidden="1" customHeight="1" outlineLevel="1" spans="2:16">
      <c r="B102" s="109" t="s">
        <v>265</v>
      </c>
      <c r="C102" s="47"/>
      <c r="D102" s="47"/>
      <c r="E102" s="47"/>
      <c r="F102" s="47" t="s">
        <v>182</v>
      </c>
      <c r="G102" s="47" t="s">
        <v>123</v>
      </c>
      <c r="H102" s="47" t="s">
        <v>266</v>
      </c>
      <c r="I102" s="46" t="s">
        <v>58</v>
      </c>
      <c r="J102" s="46">
        <v>1</v>
      </c>
      <c r="K102" s="98">
        <v>0.05</v>
      </c>
      <c r="L102" s="98">
        <v>0.05</v>
      </c>
      <c r="M102" s="98">
        <v>0.05</v>
      </c>
      <c r="N102" s="98">
        <v>0.05</v>
      </c>
      <c r="O102" s="46"/>
      <c r="P102" s="5"/>
    </row>
    <row r="103" hidden="1" customHeight="1" outlineLevel="1" spans="2:16">
      <c r="B103" s="109" t="s">
        <v>267</v>
      </c>
      <c r="C103" s="47"/>
      <c r="D103" s="47"/>
      <c r="E103" s="47"/>
      <c r="F103" s="47" t="s">
        <v>182</v>
      </c>
      <c r="G103" s="47"/>
      <c r="H103" s="47" t="s">
        <v>268</v>
      </c>
      <c r="I103" s="46" t="s">
        <v>58</v>
      </c>
      <c r="J103" s="46">
        <v>1</v>
      </c>
      <c r="K103" s="98">
        <v>0.05</v>
      </c>
      <c r="L103" s="98">
        <v>0.05</v>
      </c>
      <c r="M103" s="98">
        <v>0.05</v>
      </c>
      <c r="N103" s="98">
        <v>0.05</v>
      </c>
      <c r="O103" s="46"/>
      <c r="P103" s="5"/>
    </row>
    <row r="104" hidden="1" customHeight="1" outlineLevel="1" spans="2:16">
      <c r="B104" s="109" t="s">
        <v>269</v>
      </c>
      <c r="C104" s="47"/>
      <c r="D104" s="47"/>
      <c r="E104" s="47"/>
      <c r="F104" s="47" t="s">
        <v>182</v>
      </c>
      <c r="G104" s="47"/>
      <c r="H104" s="47" t="s">
        <v>270</v>
      </c>
      <c r="I104" s="46" t="s">
        <v>58</v>
      </c>
      <c r="J104" s="46">
        <v>1</v>
      </c>
      <c r="K104" s="98">
        <v>0.05</v>
      </c>
      <c r="L104" s="98">
        <v>0.05</v>
      </c>
      <c r="M104" s="98">
        <v>0.05</v>
      </c>
      <c r="N104" s="98">
        <v>0.05</v>
      </c>
      <c r="O104" s="46"/>
      <c r="P104" s="5"/>
    </row>
    <row r="105" hidden="1" customHeight="1" outlineLevel="1" spans="2:16">
      <c r="B105" s="109" t="s">
        <v>271</v>
      </c>
      <c r="C105" s="47"/>
      <c r="D105" s="47"/>
      <c r="E105" s="47"/>
      <c r="F105" s="47" t="s">
        <v>182</v>
      </c>
      <c r="G105" s="47"/>
      <c r="H105" s="47" t="s">
        <v>272</v>
      </c>
      <c r="I105" s="46" t="s">
        <v>58</v>
      </c>
      <c r="J105" s="46">
        <v>1</v>
      </c>
      <c r="K105" s="98">
        <v>0.05</v>
      </c>
      <c r="L105" s="98">
        <v>0.05</v>
      </c>
      <c r="M105" s="98">
        <v>0.05</v>
      </c>
      <c r="N105" s="98">
        <v>0.05</v>
      </c>
      <c r="O105" s="46"/>
      <c r="P105" s="5"/>
    </row>
    <row r="106" hidden="1" customHeight="1" outlineLevel="1" spans="2:16">
      <c r="B106" s="109" t="s">
        <v>273</v>
      </c>
      <c r="C106" s="47"/>
      <c r="D106" s="47"/>
      <c r="E106" s="47"/>
      <c r="F106" s="47" t="s">
        <v>182</v>
      </c>
      <c r="G106" s="47"/>
      <c r="H106" s="47" t="s">
        <v>274</v>
      </c>
      <c r="I106" s="46" t="s">
        <v>58</v>
      </c>
      <c r="J106" s="46">
        <v>1</v>
      </c>
      <c r="K106" s="98">
        <v>0.0833333333333333</v>
      </c>
      <c r="L106" s="98">
        <v>0.0833333333333333</v>
      </c>
      <c r="M106" s="98">
        <v>0.0833333333333333</v>
      </c>
      <c r="N106" s="98">
        <v>0.0833333333333333</v>
      </c>
      <c r="O106" s="46"/>
      <c r="P106" s="5"/>
    </row>
    <row r="107" hidden="1" customHeight="1" outlineLevel="1" spans="2:16">
      <c r="B107" s="109" t="s">
        <v>275</v>
      </c>
      <c r="C107" s="47"/>
      <c r="D107" s="47"/>
      <c r="E107" s="47"/>
      <c r="F107" s="47" t="s">
        <v>182</v>
      </c>
      <c r="G107" s="47"/>
      <c r="H107" s="47" t="s">
        <v>276</v>
      </c>
      <c r="I107" s="46" t="s">
        <v>58</v>
      </c>
      <c r="J107" s="46">
        <v>1</v>
      </c>
      <c r="K107" s="98">
        <v>0.166666666666667</v>
      </c>
      <c r="L107" s="98">
        <v>0.166666666666667</v>
      </c>
      <c r="M107" s="98">
        <v>0.166666666666667</v>
      </c>
      <c r="N107" s="98">
        <v>0.166666666666667</v>
      </c>
      <c r="O107" s="46"/>
      <c r="P107" s="5"/>
    </row>
    <row r="108" hidden="1" customHeight="1" outlineLevel="1" spans="2:16">
      <c r="B108" s="109" t="s">
        <v>277</v>
      </c>
      <c r="C108" s="47"/>
      <c r="D108" s="47"/>
      <c r="E108" s="47"/>
      <c r="F108" s="47" t="s">
        <v>182</v>
      </c>
      <c r="G108" s="47" t="s">
        <v>218</v>
      </c>
      <c r="H108" s="47" t="s">
        <v>278</v>
      </c>
      <c r="I108" s="46" t="s">
        <v>58</v>
      </c>
      <c r="J108" s="46">
        <v>1</v>
      </c>
      <c r="K108" s="98">
        <v>0.0833333333333333</v>
      </c>
      <c r="L108" s="98">
        <v>0.12</v>
      </c>
      <c r="M108" s="98">
        <v>0.1</v>
      </c>
      <c r="N108" s="98">
        <v>0.1</v>
      </c>
      <c r="O108" s="46"/>
      <c r="P108" s="5"/>
    </row>
    <row r="109" hidden="1" customHeight="1" outlineLevel="1" spans="2:16">
      <c r="B109" s="109" t="s">
        <v>279</v>
      </c>
      <c r="C109" s="47"/>
      <c r="D109" s="47"/>
      <c r="E109" s="47"/>
      <c r="F109" s="47" t="s">
        <v>182</v>
      </c>
      <c r="G109" s="47"/>
      <c r="H109" s="47" t="s">
        <v>280</v>
      </c>
      <c r="I109" s="46" t="s">
        <v>58</v>
      </c>
      <c r="J109" s="46">
        <v>1</v>
      </c>
      <c r="K109" s="98">
        <v>0.0833333333333333</v>
      </c>
      <c r="L109" s="98">
        <v>0.0833333333333333</v>
      </c>
      <c r="M109" s="98">
        <v>0.0833333333333333</v>
      </c>
      <c r="N109" s="98">
        <v>0.0833333333333333</v>
      </c>
      <c r="O109" s="46"/>
      <c r="P109" s="5"/>
    </row>
    <row r="110" ht="27.75" hidden="1" customHeight="1" outlineLevel="1" spans="2:16">
      <c r="B110" s="109" t="s">
        <v>281</v>
      </c>
      <c r="C110" s="47"/>
      <c r="D110" s="47"/>
      <c r="E110" s="47"/>
      <c r="F110" s="47" t="s">
        <v>182</v>
      </c>
      <c r="G110" s="47" t="s">
        <v>282</v>
      </c>
      <c r="H110" s="61" t="s">
        <v>283</v>
      </c>
      <c r="I110" s="46" t="s">
        <v>58</v>
      </c>
      <c r="J110" s="46">
        <v>1</v>
      </c>
      <c r="K110" s="98">
        <v>0.05</v>
      </c>
      <c r="L110" s="98">
        <v>0.05</v>
      </c>
      <c r="M110" s="98">
        <v>0.05</v>
      </c>
      <c r="N110" s="98">
        <v>0.05</v>
      </c>
      <c r="O110" s="46"/>
      <c r="P110" s="5"/>
    </row>
    <row r="111" ht="27.75" hidden="1" customHeight="1" outlineLevel="1" spans="2:16">
      <c r="B111" s="109" t="s">
        <v>284</v>
      </c>
      <c r="C111" s="47"/>
      <c r="D111" s="47"/>
      <c r="E111" s="47"/>
      <c r="F111" s="47" t="s">
        <v>182</v>
      </c>
      <c r="G111" s="47"/>
      <c r="H111" s="61" t="s">
        <v>285</v>
      </c>
      <c r="I111" s="46" t="s">
        <v>58</v>
      </c>
      <c r="J111" s="46">
        <v>1</v>
      </c>
      <c r="K111" s="98">
        <v>0.05</v>
      </c>
      <c r="L111" s="98">
        <v>0.05</v>
      </c>
      <c r="M111" s="98">
        <v>0.05</v>
      </c>
      <c r="N111" s="98">
        <v>0.05</v>
      </c>
      <c r="O111" s="46"/>
      <c r="P111" s="5"/>
    </row>
    <row r="112" hidden="1" customHeight="1" outlineLevel="1" spans="2:16">
      <c r="B112" s="109" t="s">
        <v>286</v>
      </c>
      <c r="C112" s="47"/>
      <c r="D112" s="47"/>
      <c r="E112" s="47"/>
      <c r="F112" s="47" t="s">
        <v>182</v>
      </c>
      <c r="G112" s="47"/>
      <c r="H112" s="47" t="s">
        <v>287</v>
      </c>
      <c r="I112" s="46" t="s">
        <v>58</v>
      </c>
      <c r="J112" s="46">
        <v>1</v>
      </c>
      <c r="K112" s="98">
        <v>0.066</v>
      </c>
      <c r="L112" s="98">
        <v>0.066</v>
      </c>
      <c r="M112" s="98">
        <v>0.066</v>
      </c>
      <c r="N112" s="98">
        <v>0.066</v>
      </c>
      <c r="O112" s="46"/>
      <c r="P112" s="5"/>
    </row>
    <row r="113" hidden="1" customHeight="1" outlineLevel="1" spans="2:16">
      <c r="B113" s="109" t="s">
        <v>288</v>
      </c>
      <c r="C113" s="47"/>
      <c r="D113" s="47"/>
      <c r="E113" s="47"/>
      <c r="F113" s="47" t="s">
        <v>182</v>
      </c>
      <c r="G113" s="47" t="s">
        <v>289</v>
      </c>
      <c r="H113" s="47" t="s">
        <v>290</v>
      </c>
      <c r="I113" s="46" t="s">
        <v>58</v>
      </c>
      <c r="J113" s="46">
        <v>1</v>
      </c>
      <c r="K113" s="98">
        <v>0</v>
      </c>
      <c r="L113" s="98">
        <v>0</v>
      </c>
      <c r="M113" s="98">
        <v>0</v>
      </c>
      <c r="N113" s="98">
        <v>0</v>
      </c>
      <c r="O113" s="46"/>
      <c r="P113" s="5"/>
    </row>
    <row r="114" ht="27.75" hidden="1" customHeight="1" outlineLevel="1" spans="2:16">
      <c r="B114" s="109" t="s">
        <v>291</v>
      </c>
      <c r="C114" s="47"/>
      <c r="D114" s="47"/>
      <c r="E114" s="47"/>
      <c r="F114" s="47" t="s">
        <v>182</v>
      </c>
      <c r="G114" s="47" t="s">
        <v>292</v>
      </c>
      <c r="H114" s="61" t="s">
        <v>293</v>
      </c>
      <c r="I114" s="46" t="s">
        <v>58</v>
      </c>
      <c r="J114" s="46">
        <v>1</v>
      </c>
      <c r="K114" s="98">
        <v>0.0166666666666667</v>
      </c>
      <c r="L114" s="98">
        <v>0.0166666666666667</v>
      </c>
      <c r="M114" s="98">
        <v>0.0166666666666667</v>
      </c>
      <c r="N114" s="98">
        <v>0.0166666666666667</v>
      </c>
      <c r="O114" s="46"/>
      <c r="P114" s="5"/>
    </row>
    <row r="115" hidden="1" customHeight="1" outlineLevel="1" spans="2:16">
      <c r="B115" s="109" t="s">
        <v>294</v>
      </c>
      <c r="C115" s="47"/>
      <c r="D115" s="47"/>
      <c r="E115" s="47"/>
      <c r="F115" s="47" t="s">
        <v>182</v>
      </c>
      <c r="G115" s="47"/>
      <c r="H115" s="47" t="s">
        <v>295</v>
      </c>
      <c r="I115" s="46" t="s">
        <v>58</v>
      </c>
      <c r="J115" s="46">
        <v>1</v>
      </c>
      <c r="K115" s="98">
        <v>0.0166666666666667</v>
      </c>
      <c r="L115" s="98">
        <v>0.0166666666666667</v>
      </c>
      <c r="M115" s="98">
        <v>0.0166666666666667</v>
      </c>
      <c r="N115" s="98">
        <v>0.0166666666666667</v>
      </c>
      <c r="O115" s="46"/>
      <c r="P115" s="5"/>
    </row>
    <row r="116" ht="27.75" hidden="1" customHeight="1" outlineLevel="1" spans="2:16">
      <c r="B116" s="109" t="s">
        <v>296</v>
      </c>
      <c r="C116" s="47"/>
      <c r="D116" s="47"/>
      <c r="E116" s="47"/>
      <c r="F116" s="47" t="s">
        <v>182</v>
      </c>
      <c r="G116" s="47"/>
      <c r="H116" s="61" t="s">
        <v>297</v>
      </c>
      <c r="I116" s="46" t="s">
        <v>58</v>
      </c>
      <c r="J116" s="46">
        <v>1</v>
      </c>
      <c r="K116" s="98">
        <v>0.033</v>
      </c>
      <c r="L116" s="98">
        <v>0.033</v>
      </c>
      <c r="M116" s="98">
        <v>0.033</v>
      </c>
      <c r="N116" s="98">
        <v>0.033</v>
      </c>
      <c r="O116" s="46"/>
      <c r="P116" s="5"/>
    </row>
    <row r="117" ht="27.75" hidden="1" customHeight="1" outlineLevel="1" spans="2:16">
      <c r="B117" s="109" t="s">
        <v>298</v>
      </c>
      <c r="C117" s="47"/>
      <c r="D117" s="47"/>
      <c r="E117" s="47"/>
      <c r="F117" s="47" t="s">
        <v>182</v>
      </c>
      <c r="G117" s="47"/>
      <c r="H117" s="61" t="s">
        <v>299</v>
      </c>
      <c r="I117" s="46" t="s">
        <v>58</v>
      </c>
      <c r="J117" s="46">
        <v>1</v>
      </c>
      <c r="K117" s="98">
        <v>0.033</v>
      </c>
      <c r="L117" s="98">
        <v>0.033</v>
      </c>
      <c r="M117" s="98">
        <v>0.033</v>
      </c>
      <c r="N117" s="98">
        <v>0.033</v>
      </c>
      <c r="O117" s="46"/>
      <c r="P117" s="5"/>
    </row>
    <row r="118" hidden="1" customHeight="1" outlineLevel="1" spans="2:16">
      <c r="B118" s="109" t="s">
        <v>300</v>
      </c>
      <c r="C118" s="47"/>
      <c r="D118" s="47"/>
      <c r="E118" s="47"/>
      <c r="F118" s="47" t="s">
        <v>182</v>
      </c>
      <c r="G118" s="47" t="s">
        <v>301</v>
      </c>
      <c r="H118" s="47" t="s">
        <v>302</v>
      </c>
      <c r="I118" s="46" t="s">
        <v>58</v>
      </c>
      <c r="J118" s="46">
        <v>1</v>
      </c>
      <c r="K118" s="98">
        <v>0.166666666666667</v>
      </c>
      <c r="L118" s="98">
        <v>0.166666666666667</v>
      </c>
      <c r="M118" s="98">
        <v>0.166666666666667</v>
      </c>
      <c r="N118" s="98">
        <v>0.166666666666667</v>
      </c>
      <c r="O118" s="46"/>
      <c r="P118" s="5"/>
    </row>
    <row r="119" hidden="1" customHeight="1" outlineLevel="1" spans="2:16">
      <c r="B119" s="109" t="s">
        <v>303</v>
      </c>
      <c r="C119" s="47"/>
      <c r="D119" s="47"/>
      <c r="E119" s="47"/>
      <c r="F119" s="47" t="s">
        <v>182</v>
      </c>
      <c r="G119" s="47" t="s">
        <v>218</v>
      </c>
      <c r="H119" s="47" t="s">
        <v>304</v>
      </c>
      <c r="I119" s="46" t="s">
        <v>58</v>
      </c>
      <c r="J119" s="46">
        <v>1</v>
      </c>
      <c r="K119" s="98">
        <v>0.166666666666667</v>
      </c>
      <c r="L119" s="98">
        <v>0.166666666666667</v>
      </c>
      <c r="M119" s="98">
        <v>0.166666666666667</v>
      </c>
      <c r="N119" s="98">
        <v>0.166666666666667</v>
      </c>
      <c r="O119" s="46"/>
      <c r="P119" s="5"/>
    </row>
    <row r="120" hidden="1" customHeight="1" outlineLevel="1" spans="2:16">
      <c r="B120" s="109" t="s">
        <v>305</v>
      </c>
      <c r="C120" s="47"/>
      <c r="D120" s="47"/>
      <c r="E120" s="47"/>
      <c r="F120" s="47" t="s">
        <v>182</v>
      </c>
      <c r="G120" s="47"/>
      <c r="H120" s="47" t="s">
        <v>306</v>
      </c>
      <c r="I120" s="46" t="s">
        <v>58</v>
      </c>
      <c r="J120" s="46">
        <v>1</v>
      </c>
      <c r="K120" s="98">
        <v>0.0833333333333333</v>
      </c>
      <c r="L120" s="98">
        <v>0.0833333333333333</v>
      </c>
      <c r="M120" s="98">
        <v>0.0833333333333333</v>
      </c>
      <c r="N120" s="98">
        <v>0.0833333333333333</v>
      </c>
      <c r="O120" s="46"/>
      <c r="P120" s="5"/>
    </row>
    <row r="121" hidden="1" customHeight="1" outlineLevel="1" spans="2:16">
      <c r="B121" s="109" t="s">
        <v>307</v>
      </c>
      <c r="C121" s="47"/>
      <c r="D121" s="47"/>
      <c r="E121" s="47"/>
      <c r="F121" s="47" t="s">
        <v>182</v>
      </c>
      <c r="G121" s="47" t="s">
        <v>143</v>
      </c>
      <c r="H121" s="47" t="s">
        <v>308</v>
      </c>
      <c r="I121" s="46" t="s">
        <v>58</v>
      </c>
      <c r="J121" s="46">
        <v>1</v>
      </c>
      <c r="K121" s="98">
        <v>0.0333333333333333</v>
      </c>
      <c r="L121" s="98">
        <v>0.0333333333333333</v>
      </c>
      <c r="M121" s="98">
        <v>0.0333333333333333</v>
      </c>
      <c r="N121" s="98">
        <v>0.0333333333333333</v>
      </c>
      <c r="O121" s="46"/>
      <c r="P121" s="5"/>
    </row>
    <row r="122" hidden="1" customHeight="1" outlineLevel="1" spans="2:16">
      <c r="B122" s="109" t="s">
        <v>309</v>
      </c>
      <c r="C122" s="47"/>
      <c r="D122" s="47"/>
      <c r="E122" s="47"/>
      <c r="F122" s="47" t="s">
        <v>182</v>
      </c>
      <c r="G122" s="47"/>
      <c r="H122" s="47" t="s">
        <v>310</v>
      </c>
      <c r="I122" s="46" t="s">
        <v>58</v>
      </c>
      <c r="J122" s="46">
        <v>1</v>
      </c>
      <c r="K122" s="98">
        <v>0.0333333333333333</v>
      </c>
      <c r="L122" s="98">
        <v>0.0333333333333333</v>
      </c>
      <c r="M122" s="98">
        <v>0.0333333333333333</v>
      </c>
      <c r="N122" s="98">
        <v>0.0333333333333333</v>
      </c>
      <c r="O122" s="46"/>
      <c r="P122" s="5"/>
    </row>
    <row r="123" hidden="1" customHeight="1" outlineLevel="1" spans="2:16">
      <c r="B123" s="109" t="s">
        <v>311</v>
      </c>
      <c r="C123" s="47"/>
      <c r="D123" s="47"/>
      <c r="E123" s="47"/>
      <c r="F123" s="47" t="s">
        <v>182</v>
      </c>
      <c r="G123" s="47"/>
      <c r="H123" s="47" t="s">
        <v>312</v>
      </c>
      <c r="I123" s="46" t="s">
        <v>58</v>
      </c>
      <c r="J123" s="46">
        <v>1</v>
      </c>
      <c r="K123" s="98">
        <v>0.0333333333333333</v>
      </c>
      <c r="L123" s="98">
        <v>0.0333333333333333</v>
      </c>
      <c r="M123" s="98">
        <v>0.0333333333333333</v>
      </c>
      <c r="N123" s="98">
        <v>0.0333333333333333</v>
      </c>
      <c r="O123" s="46"/>
      <c r="P123" s="5"/>
    </row>
    <row r="124" hidden="1" customHeight="1" outlineLevel="1" spans="2:16">
      <c r="B124" s="109" t="s">
        <v>313</v>
      </c>
      <c r="C124" s="47"/>
      <c r="D124" s="47"/>
      <c r="E124" s="47"/>
      <c r="F124" s="47" t="s">
        <v>182</v>
      </c>
      <c r="G124" s="47"/>
      <c r="H124" s="47" t="s">
        <v>314</v>
      </c>
      <c r="I124" s="46" t="s">
        <v>58</v>
      </c>
      <c r="J124" s="46">
        <v>1</v>
      </c>
      <c r="K124" s="98">
        <v>0.0333333333333333</v>
      </c>
      <c r="L124" s="98">
        <v>0.0333333333333333</v>
      </c>
      <c r="M124" s="98">
        <v>0.0333333333333333</v>
      </c>
      <c r="N124" s="98">
        <v>0.0333333333333333</v>
      </c>
      <c r="O124" s="46"/>
      <c r="P124" s="5"/>
    </row>
    <row r="125" hidden="1" customHeight="1" outlineLevel="1" spans="2:16">
      <c r="B125" s="109" t="s">
        <v>315</v>
      </c>
      <c r="C125" s="47"/>
      <c r="D125" s="47"/>
      <c r="E125" s="47"/>
      <c r="F125" s="47" t="s">
        <v>182</v>
      </c>
      <c r="G125" s="47" t="s">
        <v>316</v>
      </c>
      <c r="H125" s="47" t="s">
        <v>317</v>
      </c>
      <c r="I125" s="46" t="s">
        <v>58</v>
      </c>
      <c r="J125" s="46">
        <v>1</v>
      </c>
      <c r="K125" s="98">
        <v>0.333333333333333</v>
      </c>
      <c r="L125" s="98">
        <v>0.333333333333333</v>
      </c>
      <c r="M125" s="98">
        <v>0.333333333333333</v>
      </c>
      <c r="N125" s="98">
        <v>0.333333333333333</v>
      </c>
      <c r="O125" s="46"/>
      <c r="P125" s="5"/>
    </row>
    <row r="126" hidden="1" customHeight="1" outlineLevel="1" spans="2:16">
      <c r="B126" s="109" t="s">
        <v>318</v>
      </c>
      <c r="C126" s="47"/>
      <c r="D126" s="47"/>
      <c r="E126" s="47"/>
      <c r="F126" s="47" t="s">
        <v>182</v>
      </c>
      <c r="G126" s="47" t="s">
        <v>319</v>
      </c>
      <c r="H126" s="47" t="s">
        <v>320</v>
      </c>
      <c r="I126" s="46" t="s">
        <v>58</v>
      </c>
      <c r="J126" s="46">
        <v>1</v>
      </c>
      <c r="K126" s="98">
        <v>0.0166666666666667</v>
      </c>
      <c r="L126" s="98">
        <v>0.0166666666666667</v>
      </c>
      <c r="M126" s="98">
        <v>0.0166666666666667</v>
      </c>
      <c r="N126" s="98">
        <v>0.0166666666666667</v>
      </c>
      <c r="O126" s="46"/>
      <c r="P126" s="5"/>
    </row>
    <row r="127" ht="27.75" hidden="1" customHeight="1" outlineLevel="1" spans="2:16">
      <c r="B127" s="109" t="s">
        <v>321</v>
      </c>
      <c r="C127" s="47"/>
      <c r="D127" s="47"/>
      <c r="E127" s="47"/>
      <c r="F127" s="47" t="s">
        <v>182</v>
      </c>
      <c r="G127" s="47"/>
      <c r="H127" s="61" t="s">
        <v>322</v>
      </c>
      <c r="I127" s="46" t="s">
        <v>58</v>
      </c>
      <c r="J127" s="46">
        <v>1</v>
      </c>
      <c r="K127" s="98">
        <v>0.0166666666666667</v>
      </c>
      <c r="L127" s="98">
        <v>0.0166666666666667</v>
      </c>
      <c r="M127" s="98">
        <v>0.0166666666666667</v>
      </c>
      <c r="N127" s="98">
        <v>0.0166666666666667</v>
      </c>
      <c r="O127" s="46"/>
      <c r="P127" s="5"/>
    </row>
    <row r="128" ht="27.75" hidden="1" customHeight="1" outlineLevel="1" spans="2:16">
      <c r="B128" s="109" t="s">
        <v>323</v>
      </c>
      <c r="C128" s="47"/>
      <c r="D128" s="47"/>
      <c r="E128" s="47"/>
      <c r="F128" s="47" t="s">
        <v>182</v>
      </c>
      <c r="G128" s="47"/>
      <c r="H128" s="61" t="s">
        <v>324</v>
      </c>
      <c r="I128" s="46" t="s">
        <v>58</v>
      </c>
      <c r="J128" s="46">
        <v>1</v>
      </c>
      <c r="K128" s="98">
        <v>0.0166666666666667</v>
      </c>
      <c r="L128" s="98">
        <v>0.0166666666666667</v>
      </c>
      <c r="M128" s="98">
        <v>0.0166666666666667</v>
      </c>
      <c r="N128" s="98">
        <v>0.0166666666666667</v>
      </c>
      <c r="O128" s="46"/>
      <c r="P128" s="5"/>
    </row>
    <row r="129" hidden="1" customHeight="1" outlineLevel="1" spans="2:16">
      <c r="B129" s="109" t="s">
        <v>325</v>
      </c>
      <c r="C129" s="47"/>
      <c r="D129" s="47"/>
      <c r="E129" s="47"/>
      <c r="F129" s="47" t="s">
        <v>182</v>
      </c>
      <c r="G129" s="47"/>
      <c r="H129" s="47" t="s">
        <v>326</v>
      </c>
      <c r="I129" s="46" t="s">
        <v>58</v>
      </c>
      <c r="J129" s="46">
        <v>1</v>
      </c>
      <c r="K129" s="98">
        <v>0.0166666666666667</v>
      </c>
      <c r="L129" s="98">
        <v>0.0166666666666667</v>
      </c>
      <c r="M129" s="98">
        <v>0.0166666666666667</v>
      </c>
      <c r="N129" s="98">
        <v>0.0166666666666667</v>
      </c>
      <c r="O129" s="46"/>
      <c r="P129" s="5"/>
    </row>
    <row r="130" ht="27.75" hidden="1" customHeight="1" outlineLevel="1" spans="2:16">
      <c r="B130" s="109" t="s">
        <v>327</v>
      </c>
      <c r="C130" s="47"/>
      <c r="D130" s="47"/>
      <c r="E130" s="47"/>
      <c r="F130" s="47" t="s">
        <v>182</v>
      </c>
      <c r="G130" s="47"/>
      <c r="H130" s="61" t="s">
        <v>328</v>
      </c>
      <c r="I130" s="46" t="s">
        <v>58</v>
      </c>
      <c r="J130" s="46">
        <v>1</v>
      </c>
      <c r="K130" s="98">
        <v>0.0166666666666667</v>
      </c>
      <c r="L130" s="98">
        <v>0.0166666666666667</v>
      </c>
      <c r="M130" s="98">
        <v>0.0166666666666667</v>
      </c>
      <c r="N130" s="98">
        <v>0.0166666666666667</v>
      </c>
      <c r="O130" s="46"/>
      <c r="P130" s="5"/>
    </row>
    <row r="131" ht="54.75" hidden="1" customHeight="1" outlineLevel="1" spans="2:16">
      <c r="B131" s="109" t="s">
        <v>329</v>
      </c>
      <c r="C131" s="47"/>
      <c r="D131" s="47"/>
      <c r="E131" s="47"/>
      <c r="F131" s="47" t="s">
        <v>182</v>
      </c>
      <c r="G131" s="47" t="s">
        <v>330</v>
      </c>
      <c r="H131" s="61" t="s">
        <v>331</v>
      </c>
      <c r="I131" s="46" t="s">
        <v>58</v>
      </c>
      <c r="J131" s="46">
        <v>1</v>
      </c>
      <c r="K131" s="98">
        <v>0.0166666666666667</v>
      </c>
      <c r="L131" s="98">
        <v>0.0166666666666667</v>
      </c>
      <c r="M131" s="98">
        <v>0.0166666666666667</v>
      </c>
      <c r="N131" s="98">
        <v>0.0166666666666667</v>
      </c>
      <c r="O131" s="46"/>
      <c r="P131" s="5"/>
    </row>
    <row r="132" ht="41.25" hidden="1" customHeight="1" outlineLevel="1" spans="2:16">
      <c r="B132" s="109" t="s">
        <v>332</v>
      </c>
      <c r="C132" s="47"/>
      <c r="D132" s="47"/>
      <c r="E132" s="47"/>
      <c r="F132" s="47" t="s">
        <v>182</v>
      </c>
      <c r="G132" s="47"/>
      <c r="H132" s="61" t="s">
        <v>333</v>
      </c>
      <c r="I132" s="46" t="s">
        <v>58</v>
      </c>
      <c r="J132" s="46">
        <v>1</v>
      </c>
      <c r="K132" s="98">
        <v>0.0166666666666667</v>
      </c>
      <c r="L132" s="98">
        <v>0.0166666666666667</v>
      </c>
      <c r="M132" s="98">
        <v>0.0166666666666667</v>
      </c>
      <c r="N132" s="98">
        <v>0.0166666666666667</v>
      </c>
      <c r="O132" s="46"/>
      <c r="P132" s="5"/>
    </row>
    <row r="133" ht="27.75" hidden="1" customHeight="1" outlineLevel="1" spans="2:16">
      <c r="B133" s="109" t="s">
        <v>334</v>
      </c>
      <c r="C133" s="47"/>
      <c r="D133" s="47"/>
      <c r="E133" s="47"/>
      <c r="F133" s="47" t="s">
        <v>182</v>
      </c>
      <c r="G133" s="47"/>
      <c r="H133" s="61" t="s">
        <v>335</v>
      </c>
      <c r="I133" s="46" t="s">
        <v>58</v>
      </c>
      <c r="J133" s="46">
        <v>1</v>
      </c>
      <c r="K133" s="98">
        <v>0.0166666666666667</v>
      </c>
      <c r="L133" s="98">
        <v>0.0166666666666667</v>
      </c>
      <c r="M133" s="98">
        <v>0.0166666666666667</v>
      </c>
      <c r="N133" s="98">
        <v>0.0166666666666667</v>
      </c>
      <c r="O133" s="46"/>
      <c r="P133" s="5"/>
    </row>
    <row r="134" ht="41.25" hidden="1" customHeight="1" outlineLevel="1" spans="2:16">
      <c r="B134" s="109" t="s">
        <v>336</v>
      </c>
      <c r="C134" s="47"/>
      <c r="D134" s="47"/>
      <c r="E134" s="47"/>
      <c r="F134" s="47" t="s">
        <v>182</v>
      </c>
      <c r="G134" s="47"/>
      <c r="H134" s="61" t="s">
        <v>337</v>
      </c>
      <c r="I134" s="46" t="s">
        <v>58</v>
      </c>
      <c r="J134" s="46">
        <v>1</v>
      </c>
      <c r="K134" s="98">
        <v>0.0166666666666667</v>
      </c>
      <c r="L134" s="98">
        <v>0.0166666666666667</v>
      </c>
      <c r="M134" s="98">
        <v>0.0166666666666667</v>
      </c>
      <c r="N134" s="98">
        <v>0.0166666666666667</v>
      </c>
      <c r="O134" s="46"/>
      <c r="P134" s="5"/>
    </row>
    <row r="135" ht="27.75" hidden="1" customHeight="1" outlineLevel="1" spans="2:16">
      <c r="B135" s="109" t="s">
        <v>338</v>
      </c>
      <c r="C135" s="47"/>
      <c r="D135" s="47"/>
      <c r="E135" s="47"/>
      <c r="F135" s="47" t="s">
        <v>182</v>
      </c>
      <c r="G135" s="47" t="s">
        <v>339</v>
      </c>
      <c r="H135" s="61" t="s">
        <v>340</v>
      </c>
      <c r="I135" s="46" t="s">
        <v>58</v>
      </c>
      <c r="J135" s="46">
        <v>1</v>
      </c>
      <c r="K135" s="98">
        <v>0.0333333333333333</v>
      </c>
      <c r="L135" s="98">
        <v>0.0333333333333333</v>
      </c>
      <c r="M135" s="98">
        <v>0.0333333333333333</v>
      </c>
      <c r="N135" s="98">
        <v>0.0333333333333333</v>
      </c>
      <c r="O135" s="46"/>
      <c r="P135" s="5"/>
    </row>
    <row r="136" hidden="1" customHeight="1" outlineLevel="1" spans="2:16">
      <c r="B136" s="109" t="s">
        <v>341</v>
      </c>
      <c r="C136" s="47"/>
      <c r="D136" s="47"/>
      <c r="E136" s="47"/>
      <c r="F136" s="47" t="s">
        <v>182</v>
      </c>
      <c r="G136" s="47"/>
      <c r="H136" s="47" t="s">
        <v>342</v>
      </c>
      <c r="I136" s="46" t="s">
        <v>58</v>
      </c>
      <c r="J136" s="46">
        <v>1</v>
      </c>
      <c r="K136" s="98">
        <v>0.0333333333333333</v>
      </c>
      <c r="L136" s="98">
        <v>0.0333333333333333</v>
      </c>
      <c r="M136" s="98">
        <v>0.0333333333333333</v>
      </c>
      <c r="N136" s="98">
        <v>0.0333333333333333</v>
      </c>
      <c r="O136" s="46"/>
      <c r="P136" s="5"/>
    </row>
    <row r="137" hidden="1" customHeight="1" outlineLevel="1" spans="2:16">
      <c r="B137" s="109" t="s">
        <v>343</v>
      </c>
      <c r="C137" s="47"/>
      <c r="D137" s="47"/>
      <c r="E137" s="47"/>
      <c r="F137" s="47" t="s">
        <v>182</v>
      </c>
      <c r="G137" s="47"/>
      <c r="H137" s="47" t="s">
        <v>344</v>
      </c>
      <c r="I137" s="46" t="s">
        <v>58</v>
      </c>
      <c r="J137" s="46">
        <v>1</v>
      </c>
      <c r="K137" s="98">
        <v>0.0333333333333333</v>
      </c>
      <c r="L137" s="98">
        <v>0.0333333333333333</v>
      </c>
      <c r="M137" s="98">
        <v>0.0333333333333333</v>
      </c>
      <c r="N137" s="98">
        <v>0.0333333333333333</v>
      </c>
      <c r="O137" s="46"/>
      <c r="P137" s="5"/>
    </row>
    <row r="138" hidden="1" customHeight="1" outlineLevel="1" spans="2:16">
      <c r="B138" s="109" t="s">
        <v>345</v>
      </c>
      <c r="C138" s="47"/>
      <c r="D138" s="47"/>
      <c r="E138" s="47"/>
      <c r="F138" s="47" t="s">
        <v>182</v>
      </c>
      <c r="G138" s="47"/>
      <c r="H138" s="47" t="s">
        <v>346</v>
      </c>
      <c r="I138" s="46" t="s">
        <v>58</v>
      </c>
      <c r="J138" s="46">
        <v>1</v>
      </c>
      <c r="K138" s="98">
        <v>0.0333333333333333</v>
      </c>
      <c r="L138" s="98">
        <v>0.0333333333333333</v>
      </c>
      <c r="M138" s="98">
        <v>0.0333333333333333</v>
      </c>
      <c r="N138" s="98">
        <v>0.0333333333333333</v>
      </c>
      <c r="O138" s="46"/>
      <c r="P138" s="5"/>
    </row>
    <row r="139" hidden="1" customHeight="1" outlineLevel="1" spans="2:16">
      <c r="B139" s="109" t="s">
        <v>347</v>
      </c>
      <c r="C139" s="47"/>
      <c r="D139" s="47"/>
      <c r="E139" s="47"/>
      <c r="F139" s="47" t="s">
        <v>182</v>
      </c>
      <c r="G139" s="47"/>
      <c r="H139" s="47" t="s">
        <v>348</v>
      </c>
      <c r="I139" s="46" t="s">
        <v>58</v>
      </c>
      <c r="J139" s="46">
        <v>1</v>
      </c>
      <c r="K139" s="98">
        <v>0.0333333333333333</v>
      </c>
      <c r="L139" s="98">
        <v>0.0333333333333333</v>
      </c>
      <c r="M139" s="98">
        <v>0.0333333333333333</v>
      </c>
      <c r="N139" s="98">
        <v>0.0333333333333333</v>
      </c>
      <c r="O139" s="46"/>
      <c r="P139" s="5"/>
    </row>
    <row r="140" hidden="1" customHeight="1" outlineLevel="1" spans="2:16">
      <c r="B140" s="109" t="s">
        <v>349</v>
      </c>
      <c r="C140" s="47"/>
      <c r="D140" s="47"/>
      <c r="E140" s="47"/>
      <c r="F140" s="47" t="s">
        <v>182</v>
      </c>
      <c r="G140" s="47"/>
      <c r="H140" s="47" t="s">
        <v>350</v>
      </c>
      <c r="I140" s="46" t="s">
        <v>58</v>
      </c>
      <c r="J140" s="46">
        <v>1</v>
      </c>
      <c r="K140" s="98">
        <v>0.0333333333333333</v>
      </c>
      <c r="L140" s="98">
        <v>0.0333333333333333</v>
      </c>
      <c r="M140" s="98">
        <v>0.0333333333333333</v>
      </c>
      <c r="N140" s="98">
        <v>0.0333333333333333</v>
      </c>
      <c r="O140" s="46"/>
      <c r="P140" s="5"/>
    </row>
    <row r="141" hidden="1" customHeight="1" outlineLevel="1" spans="2:16">
      <c r="B141" s="109" t="s">
        <v>351</v>
      </c>
      <c r="C141" s="47"/>
      <c r="D141" s="47"/>
      <c r="E141" s="47"/>
      <c r="F141" s="47" t="s">
        <v>182</v>
      </c>
      <c r="G141" s="47" t="s">
        <v>352</v>
      </c>
      <c r="H141" s="47" t="s">
        <v>353</v>
      </c>
      <c r="I141" s="46" t="s">
        <v>58</v>
      </c>
      <c r="J141" s="46">
        <v>1</v>
      </c>
      <c r="K141" s="98">
        <v>0.0333333333333333</v>
      </c>
      <c r="L141" s="98">
        <v>0.0333333333333333</v>
      </c>
      <c r="M141" s="98">
        <v>0.0333333333333333</v>
      </c>
      <c r="N141" s="98">
        <v>0.0333333333333333</v>
      </c>
      <c r="O141" s="46"/>
      <c r="P141" s="5"/>
    </row>
    <row r="142" hidden="1" customHeight="1" outlineLevel="1" spans="2:16">
      <c r="B142" s="109" t="s">
        <v>354</v>
      </c>
      <c r="C142" s="47"/>
      <c r="D142" s="47"/>
      <c r="E142" s="47"/>
      <c r="F142" s="47" t="s">
        <v>182</v>
      </c>
      <c r="G142" s="47"/>
      <c r="H142" s="47" t="s">
        <v>355</v>
      </c>
      <c r="I142" s="46" t="s">
        <v>58</v>
      </c>
      <c r="J142" s="46">
        <v>1</v>
      </c>
      <c r="K142" s="98">
        <v>0.0333333333333333</v>
      </c>
      <c r="L142" s="98">
        <v>0.0333333333333333</v>
      </c>
      <c r="M142" s="98">
        <v>0.0333333333333333</v>
      </c>
      <c r="N142" s="98">
        <v>0.0333333333333333</v>
      </c>
      <c r="O142" s="46"/>
      <c r="P142" s="5"/>
    </row>
    <row r="143" hidden="1" customHeight="1" outlineLevel="1" spans="2:16">
      <c r="B143" s="109" t="s">
        <v>356</v>
      </c>
      <c r="C143" s="47"/>
      <c r="D143" s="47"/>
      <c r="E143" s="47"/>
      <c r="F143" s="47" t="s">
        <v>182</v>
      </c>
      <c r="G143" s="47"/>
      <c r="H143" s="47" t="s">
        <v>357</v>
      </c>
      <c r="I143" s="46" t="s">
        <v>58</v>
      </c>
      <c r="J143" s="46">
        <v>1</v>
      </c>
      <c r="K143" s="98">
        <v>0.0333333333333333</v>
      </c>
      <c r="L143" s="98">
        <v>0.0333333333333333</v>
      </c>
      <c r="M143" s="98">
        <v>0.0333333333333333</v>
      </c>
      <c r="N143" s="98">
        <v>0.0333333333333333</v>
      </c>
      <c r="O143" s="46"/>
      <c r="P143" s="5"/>
    </row>
    <row r="144" ht="27.75" hidden="1" customHeight="1" outlineLevel="1" spans="2:16">
      <c r="B144" s="109" t="s">
        <v>358</v>
      </c>
      <c r="C144" s="47"/>
      <c r="D144" s="47"/>
      <c r="E144" s="47"/>
      <c r="F144" s="47" t="s">
        <v>182</v>
      </c>
      <c r="G144" s="47"/>
      <c r="H144" s="61" t="s">
        <v>359</v>
      </c>
      <c r="I144" s="46" t="s">
        <v>58</v>
      </c>
      <c r="J144" s="46">
        <v>1</v>
      </c>
      <c r="K144" s="98">
        <v>0.0333333333333333</v>
      </c>
      <c r="L144" s="98">
        <v>0.0333333333333333</v>
      </c>
      <c r="M144" s="98">
        <v>0.0333333333333333</v>
      </c>
      <c r="N144" s="98">
        <v>0.0333333333333333</v>
      </c>
      <c r="O144" s="46"/>
      <c r="P144" s="5"/>
    </row>
    <row r="145" ht="27.75" hidden="1" customHeight="1" outlineLevel="1" spans="1:42">
      <c r="B145" s="109" t="s">
        <v>360</v>
      </c>
      <c r="C145" s="47"/>
      <c r="D145" s="47"/>
      <c r="E145" s="47"/>
      <c r="F145" s="47" t="s">
        <v>182</v>
      </c>
      <c r="G145" s="47"/>
      <c r="H145" s="61" t="s">
        <v>361</v>
      </c>
      <c r="I145" s="46" t="s">
        <v>58</v>
      </c>
      <c r="J145" s="46">
        <v>1</v>
      </c>
      <c r="K145" s="98">
        <v>0.0333333333333333</v>
      </c>
      <c r="L145" s="98">
        <v>0.0333333333333333</v>
      </c>
      <c r="M145" s="98">
        <v>0.0333333333333333</v>
      </c>
      <c r="N145" s="98">
        <v>0.0333333333333333</v>
      </c>
      <c r="O145" s="46"/>
      <c r="P145" s="5"/>
    </row>
    <row r="146" hidden="1" customHeight="1" outlineLevel="1" spans="1:42">
      <c r="B146" s="109" t="s">
        <v>362</v>
      </c>
      <c r="C146" s="47"/>
      <c r="D146" s="47"/>
      <c r="E146" s="47"/>
      <c r="F146" s="47" t="s">
        <v>182</v>
      </c>
      <c r="G146" s="47" t="s">
        <v>363</v>
      </c>
      <c r="H146" s="47" t="s">
        <v>364</v>
      </c>
      <c r="I146" s="46" t="s">
        <v>58</v>
      </c>
      <c r="J146" s="46">
        <v>1</v>
      </c>
      <c r="K146" s="98">
        <v>0.05</v>
      </c>
      <c r="L146" s="98">
        <v>0.05</v>
      </c>
      <c r="M146" s="98">
        <v>0.05</v>
      </c>
      <c r="N146" s="98">
        <v>0.05</v>
      </c>
      <c r="O146" s="46"/>
      <c r="P146" s="5"/>
    </row>
    <row r="147" ht="41.25" hidden="1" customHeight="1" outlineLevel="1" spans="1:42">
      <c r="B147" s="109" t="s">
        <v>365</v>
      </c>
      <c r="C147" s="47"/>
      <c r="D147" s="47"/>
      <c r="E147" s="47"/>
      <c r="F147" s="47" t="s">
        <v>182</v>
      </c>
      <c r="G147" s="47"/>
      <c r="H147" s="61" t="s">
        <v>366</v>
      </c>
      <c r="I147" s="46" t="s">
        <v>58</v>
      </c>
      <c r="J147" s="46">
        <v>1</v>
      </c>
      <c r="K147" s="98">
        <v>0.05</v>
      </c>
      <c r="L147" s="98">
        <v>0.05</v>
      </c>
      <c r="M147" s="98">
        <v>0.05</v>
      </c>
      <c r="N147" s="98">
        <v>0.05</v>
      </c>
      <c r="O147" s="46"/>
      <c r="P147" s="5"/>
    </row>
    <row r="148" hidden="1" customHeight="1" outlineLevel="1" spans="1:42">
      <c r="B148" s="109" t="s">
        <v>367</v>
      </c>
      <c r="C148" s="47"/>
      <c r="D148" s="47"/>
      <c r="E148" s="47"/>
      <c r="F148" s="47" t="s">
        <v>182</v>
      </c>
      <c r="G148" s="47"/>
      <c r="H148" s="47" t="s">
        <v>368</v>
      </c>
      <c r="I148" s="46" t="s">
        <v>58</v>
      </c>
      <c r="J148" s="46">
        <v>1</v>
      </c>
      <c r="K148" s="98">
        <v>0.05</v>
      </c>
      <c r="L148" s="98">
        <v>0.05</v>
      </c>
      <c r="M148" s="98">
        <v>0.05</v>
      </c>
      <c r="N148" s="98">
        <v>0.05</v>
      </c>
      <c r="O148" s="46"/>
      <c r="P148" s="5"/>
    </row>
    <row r="149" hidden="1" customHeight="1" outlineLevel="1" spans="1:42">
      <c r="B149" s="109" t="s">
        <v>369</v>
      </c>
      <c r="C149" s="47"/>
      <c r="D149" s="47"/>
      <c r="E149" s="47"/>
      <c r="F149" s="47" t="s">
        <v>182</v>
      </c>
      <c r="G149" s="47"/>
      <c r="H149" s="47" t="s">
        <v>370</v>
      </c>
      <c r="I149" s="46" t="s">
        <v>58</v>
      </c>
      <c r="J149" s="46">
        <v>1</v>
      </c>
      <c r="K149" s="98">
        <v>0.05</v>
      </c>
      <c r="L149" s="98">
        <v>0.05</v>
      </c>
      <c r="M149" s="98">
        <v>0.05</v>
      </c>
      <c r="N149" s="98">
        <v>0.05</v>
      </c>
      <c r="O149" s="46"/>
      <c r="P149" s="5"/>
    </row>
    <row r="150" hidden="1" customHeight="1" outlineLevel="1" spans="1:42">
      <c r="B150" s="109" t="s">
        <v>371</v>
      </c>
      <c r="C150" s="47"/>
      <c r="D150" s="47"/>
      <c r="E150" s="47"/>
      <c r="F150" s="47" t="s">
        <v>182</v>
      </c>
      <c r="G150" s="47"/>
      <c r="H150" s="47" t="s">
        <v>372</v>
      </c>
      <c r="I150" s="46" t="s">
        <v>58</v>
      </c>
      <c r="J150" s="46">
        <v>1</v>
      </c>
      <c r="K150" s="98">
        <v>0.033</v>
      </c>
      <c r="L150" s="98">
        <v>0.033</v>
      </c>
      <c r="M150" s="98">
        <v>0.033</v>
      </c>
      <c r="N150" s="98">
        <v>0.033</v>
      </c>
      <c r="O150" s="46"/>
      <c r="P150" s="5"/>
    </row>
    <row r="151" hidden="1" customHeight="1" outlineLevel="1" spans="1:42">
      <c r="B151" s="109" t="s">
        <v>373</v>
      </c>
      <c r="C151" s="47"/>
      <c r="D151" s="47"/>
      <c r="E151" s="47"/>
      <c r="F151" s="47" t="s">
        <v>182</v>
      </c>
      <c r="G151" s="47"/>
      <c r="H151" s="47" t="s">
        <v>374</v>
      </c>
      <c r="I151" s="46" t="s">
        <v>58</v>
      </c>
      <c r="J151" s="46">
        <v>1</v>
      </c>
      <c r="K151" s="98">
        <v>0.033</v>
      </c>
      <c r="L151" s="98">
        <v>0.033</v>
      </c>
      <c r="M151" s="98">
        <v>0.033</v>
      </c>
      <c r="N151" s="98">
        <v>0.033</v>
      </c>
      <c r="O151" s="46"/>
      <c r="P151" s="5"/>
    </row>
    <row r="152" ht="18" customHeight="1" spans="1:42">
      <c r="B152" s="46">
        <v>23</v>
      </c>
      <c r="C152" s="100" t="s">
        <v>39</v>
      </c>
      <c r="D152" s="100" t="s">
        <v>68</v>
      </c>
      <c r="E152" s="100" t="s">
        <v>82</v>
      </c>
      <c r="F152" s="100" t="s">
        <v>182</v>
      </c>
      <c r="G152" s="100" t="s">
        <v>375</v>
      </c>
      <c r="H152" s="100" t="s">
        <v>70</v>
      </c>
      <c r="I152" s="99" t="s">
        <v>71</v>
      </c>
      <c r="J152" s="99">
        <v>1</v>
      </c>
      <c r="K152" s="101">
        <v>8</v>
      </c>
      <c r="L152" s="99">
        <f>$K152*1.5</f>
        <v>12</v>
      </c>
      <c r="M152" s="99">
        <f>$K152*1.3</f>
        <v>10.4</v>
      </c>
      <c r="N152" s="99">
        <f>$K152*1.35</f>
        <v>10.8</v>
      </c>
      <c r="O152" s="99" t="s">
        <v>46</v>
      </c>
      <c r="P152" s="102" t="s">
        <v>72</v>
      </c>
    </row>
    <row r="153" ht="18" customHeight="1" spans="1:42">
      <c r="B153" s="46">
        <v>24</v>
      </c>
      <c r="C153" s="100" t="s">
        <v>39</v>
      </c>
      <c r="D153" s="100" t="s">
        <v>68</v>
      </c>
      <c r="E153" s="100" t="s">
        <v>82</v>
      </c>
      <c r="F153" s="100" t="s">
        <v>182</v>
      </c>
      <c r="G153" s="100" t="s">
        <v>376</v>
      </c>
      <c r="H153" s="100" t="s">
        <v>74</v>
      </c>
      <c r="I153" s="99" t="s">
        <v>71</v>
      </c>
      <c r="J153" s="99">
        <v>1</v>
      </c>
      <c r="K153" s="101">
        <v>6</v>
      </c>
      <c r="L153" s="99">
        <f>$K153*1.5</f>
        <v>9</v>
      </c>
      <c r="M153" s="99">
        <f>$K153*1.3</f>
        <v>7.8</v>
      </c>
      <c r="N153" s="99">
        <f>$K153*1.35</f>
        <v>8.1</v>
      </c>
      <c r="O153" s="99" t="s">
        <v>46</v>
      </c>
      <c r="P153" s="102" t="s">
        <v>72</v>
      </c>
    </row>
    <row r="154" ht="18" customHeight="1" spans="1:42">
      <c r="B154" s="46">
        <v>25</v>
      </c>
      <c r="C154" s="100" t="s">
        <v>39</v>
      </c>
      <c r="D154" s="100" t="s">
        <v>68</v>
      </c>
      <c r="E154" s="100" t="s">
        <v>82</v>
      </c>
      <c r="F154" s="100" t="s">
        <v>182</v>
      </c>
      <c r="G154" s="100" t="s">
        <v>377</v>
      </c>
      <c r="H154" s="100" t="s">
        <v>76</v>
      </c>
      <c r="I154" s="99" t="s">
        <v>71</v>
      </c>
      <c r="J154" s="99">
        <v>1</v>
      </c>
      <c r="K154" s="101">
        <v>4</v>
      </c>
      <c r="L154" s="99">
        <f>$K154*1.5</f>
        <v>6</v>
      </c>
      <c r="M154" s="99">
        <f>$K154*1.3</f>
        <v>5.2</v>
      </c>
      <c r="N154" s="99">
        <f>$K154*1.35</f>
        <v>5.4</v>
      </c>
      <c r="O154" s="99" t="s">
        <v>46</v>
      </c>
      <c r="P154" s="102" t="s">
        <v>72</v>
      </c>
    </row>
    <row r="155" ht="18" customHeight="1" spans="1:42">
      <c r="B155" s="46">
        <v>26</v>
      </c>
      <c r="C155" s="100" t="s">
        <v>39</v>
      </c>
      <c r="D155" s="100" t="s">
        <v>68</v>
      </c>
      <c r="E155" s="100" t="s">
        <v>82</v>
      </c>
      <c r="F155" s="100" t="s">
        <v>182</v>
      </c>
      <c r="G155" s="100" t="s">
        <v>378</v>
      </c>
      <c r="H155" s="100" t="s">
        <v>78</v>
      </c>
      <c r="I155" s="99" t="s">
        <v>71</v>
      </c>
      <c r="J155" s="99">
        <v>1</v>
      </c>
      <c r="K155" s="101">
        <v>2</v>
      </c>
      <c r="L155" s="99">
        <f>$K155*1.5</f>
        <v>3</v>
      </c>
      <c r="M155" s="99">
        <f>$K155*1.3</f>
        <v>2.6</v>
      </c>
      <c r="N155" s="99">
        <f>$K155*1.35</f>
        <v>2.7</v>
      </c>
      <c r="O155" s="99" t="s">
        <v>46</v>
      </c>
      <c r="P155" s="102" t="s">
        <v>72</v>
      </c>
    </row>
    <row r="156" s="81" customFormat="1" ht="18" customHeight="1" collapsed="1" spans="1:42">
      <c r="A156" s="65"/>
      <c r="B156" s="46">
        <v>27</v>
      </c>
      <c r="C156" s="100" t="s">
        <v>39</v>
      </c>
      <c r="D156" s="100" t="s">
        <v>379</v>
      </c>
      <c r="E156" s="100" t="s">
        <v>380</v>
      </c>
      <c r="F156" s="100" t="s">
        <v>381</v>
      </c>
      <c r="G156" s="100" t="s">
        <v>382</v>
      </c>
      <c r="H156" s="100"/>
      <c r="I156" s="99"/>
      <c r="J156" s="99"/>
      <c r="K156" s="99"/>
      <c r="L156" s="99"/>
      <c r="M156" s="99"/>
      <c r="N156" s="99"/>
      <c r="O156" s="99"/>
      <c r="P156" s="102" t="s">
        <v>383</v>
      </c>
      <c r="Q156" s="65"/>
      <c r="R156" s="110"/>
      <c r="S156" s="65"/>
      <c r="T156" s="65"/>
      <c r="U156" s="65"/>
      <c r="V156" s="65"/>
      <c r="W156" s="65"/>
      <c r="X156" s="65"/>
      <c r="Y156" s="65"/>
      <c r="Z156" s="65"/>
      <c r="AA156" s="65"/>
      <c r="AB156" s="65"/>
      <c r="AC156" s="65"/>
      <c r="AD156" s="65"/>
      <c r="AE156" s="65"/>
      <c r="AF156" s="65"/>
      <c r="AG156" s="65"/>
      <c r="AH156" s="65"/>
      <c r="AI156" s="65"/>
      <c r="AJ156" s="65"/>
      <c r="AK156" s="65"/>
      <c r="AL156" s="65"/>
      <c r="AM156" s="65"/>
      <c r="AN156" s="65"/>
      <c r="AO156" s="65"/>
      <c r="AP156" s="65"/>
    </row>
    <row r="157" s="81" customFormat="1" hidden="1" customHeight="1" outlineLevel="1" spans="1:42">
      <c r="A157" s="65"/>
      <c r="B157" s="106" t="s">
        <v>384</v>
      </c>
      <c r="C157" s="47"/>
      <c r="D157" s="47"/>
      <c r="E157" s="47"/>
      <c r="F157" s="47"/>
      <c r="G157" s="47"/>
      <c r="H157" s="47" t="s">
        <v>385</v>
      </c>
      <c r="I157" s="46" t="s">
        <v>58</v>
      </c>
      <c r="J157" s="46">
        <v>1</v>
      </c>
      <c r="K157" s="98">
        <v>0.6</v>
      </c>
      <c r="L157" s="98">
        <v>0.6</v>
      </c>
      <c r="M157" s="46">
        <v>0.6</v>
      </c>
      <c r="N157" s="98">
        <v>0.6</v>
      </c>
      <c r="O157" s="46">
        <v>0.6</v>
      </c>
      <c r="P157" s="5"/>
      <c r="Q157" s="65"/>
      <c r="R157" s="110"/>
      <c r="S157" s="65"/>
      <c r="T157" s="65"/>
      <c r="U157" s="65"/>
      <c r="V157" s="65"/>
      <c r="W157" s="65"/>
      <c r="X157" s="65"/>
      <c r="Y157" s="65"/>
      <c r="Z157" s="65"/>
      <c r="AA157" s="65"/>
      <c r="AB157" s="65"/>
      <c r="AC157" s="65"/>
      <c r="AD157" s="65"/>
      <c r="AE157" s="65"/>
      <c r="AF157" s="65"/>
      <c r="AG157" s="65"/>
      <c r="AH157" s="65"/>
      <c r="AI157" s="65"/>
      <c r="AJ157" s="65"/>
      <c r="AK157" s="65"/>
      <c r="AL157" s="65"/>
      <c r="AM157" s="65"/>
      <c r="AN157" s="65"/>
      <c r="AO157" s="65"/>
      <c r="AP157" s="65"/>
    </row>
    <row r="158" s="81" customFormat="1" hidden="1" customHeight="1" outlineLevel="1" spans="1:42">
      <c r="A158" s="65"/>
      <c r="B158" s="106" t="s">
        <v>386</v>
      </c>
      <c r="C158" s="47"/>
      <c r="D158" s="47"/>
      <c r="E158" s="47"/>
      <c r="F158" s="47"/>
      <c r="G158" s="47"/>
      <c r="H158" s="47" t="s">
        <v>387</v>
      </c>
      <c r="I158" s="46" t="s">
        <v>58</v>
      </c>
      <c r="J158" s="46">
        <v>1</v>
      </c>
      <c r="K158" s="98">
        <v>9</v>
      </c>
      <c r="L158" s="98">
        <v>9</v>
      </c>
      <c r="M158" s="98">
        <v>9</v>
      </c>
      <c r="N158" s="98">
        <v>9</v>
      </c>
      <c r="O158" s="98"/>
      <c r="P158" s="5"/>
      <c r="Q158" s="65"/>
      <c r="R158" s="110"/>
      <c r="S158" s="65"/>
      <c r="T158" s="65"/>
      <c r="U158" s="65"/>
      <c r="V158" s="65"/>
      <c r="W158" s="65"/>
      <c r="X158" s="65"/>
      <c r="Y158" s="65"/>
      <c r="Z158" s="65"/>
      <c r="AA158" s="65"/>
      <c r="AB158" s="65"/>
      <c r="AC158" s="65"/>
      <c r="AD158" s="65"/>
      <c r="AE158" s="65"/>
      <c r="AF158" s="65"/>
      <c r="AG158" s="65"/>
      <c r="AH158" s="65"/>
      <c r="AI158" s="65"/>
      <c r="AJ158" s="65"/>
      <c r="AK158" s="65"/>
      <c r="AL158" s="65"/>
      <c r="AM158" s="65"/>
      <c r="AN158" s="65"/>
      <c r="AO158" s="65"/>
      <c r="AP158" s="65"/>
    </row>
    <row r="159" s="81" customFormat="1" hidden="1" customHeight="1" outlineLevel="1" spans="1:42">
      <c r="A159" s="65"/>
      <c r="B159" s="106" t="s">
        <v>388</v>
      </c>
      <c r="C159" s="47"/>
      <c r="D159" s="47"/>
      <c r="E159" s="47"/>
      <c r="F159" s="47"/>
      <c r="G159" s="47"/>
      <c r="H159" s="47" t="s">
        <v>389</v>
      </c>
      <c r="I159" s="46" t="s">
        <v>58</v>
      </c>
      <c r="J159" s="46">
        <v>1</v>
      </c>
      <c r="K159" s="98">
        <v>9</v>
      </c>
      <c r="L159" s="98">
        <v>9</v>
      </c>
      <c r="M159" s="98">
        <v>9</v>
      </c>
      <c r="N159" s="98">
        <v>9</v>
      </c>
      <c r="O159" s="98"/>
      <c r="P159" s="5"/>
      <c r="Q159" s="65"/>
      <c r="R159" s="110"/>
      <c r="S159" s="65"/>
      <c r="T159" s="65"/>
      <c r="U159" s="65"/>
      <c r="V159" s="65"/>
      <c r="W159" s="65"/>
      <c r="X159" s="65"/>
      <c r="Y159" s="65"/>
      <c r="Z159" s="65"/>
      <c r="AA159" s="65"/>
      <c r="AB159" s="65"/>
      <c r="AC159" s="65"/>
      <c r="AD159" s="65"/>
      <c r="AE159" s="65"/>
      <c r="AF159" s="65"/>
      <c r="AG159" s="65"/>
      <c r="AH159" s="65"/>
      <c r="AI159" s="65"/>
      <c r="AJ159" s="65"/>
      <c r="AK159" s="65"/>
      <c r="AL159" s="65"/>
      <c r="AM159" s="65"/>
      <c r="AN159" s="65"/>
      <c r="AO159" s="65"/>
      <c r="AP159" s="65"/>
    </row>
    <row r="160" s="81" customFormat="1" hidden="1" customHeight="1" outlineLevel="1" spans="1:42">
      <c r="A160" s="65"/>
      <c r="B160" s="106" t="s">
        <v>390</v>
      </c>
      <c r="C160" s="47"/>
      <c r="D160" s="47"/>
      <c r="E160" s="47"/>
      <c r="F160" s="47"/>
      <c r="G160" s="47"/>
      <c r="H160" s="47" t="s">
        <v>391</v>
      </c>
      <c r="I160" s="46" t="s">
        <v>58</v>
      </c>
      <c r="J160" s="46">
        <v>1</v>
      </c>
      <c r="K160" s="98">
        <v>2</v>
      </c>
      <c r="L160" s="98">
        <v>2</v>
      </c>
      <c r="M160" s="98">
        <v>2</v>
      </c>
      <c r="N160" s="98">
        <v>2</v>
      </c>
      <c r="O160" s="98"/>
      <c r="P160" s="5"/>
      <c r="Q160" s="65"/>
      <c r="R160" s="110"/>
      <c r="S160" s="65"/>
      <c r="T160" s="65"/>
      <c r="U160" s="65"/>
      <c r="V160" s="65"/>
      <c r="W160" s="65"/>
      <c r="X160" s="65"/>
      <c r="Y160" s="65"/>
      <c r="Z160" s="65"/>
      <c r="AA160" s="65"/>
      <c r="AB160" s="65"/>
      <c r="AC160" s="65"/>
      <c r="AD160" s="65"/>
      <c r="AE160" s="65"/>
      <c r="AF160" s="65"/>
      <c r="AG160" s="65"/>
      <c r="AH160" s="65"/>
      <c r="AI160" s="65"/>
      <c r="AJ160" s="65"/>
      <c r="AK160" s="65"/>
      <c r="AL160" s="65"/>
      <c r="AM160" s="65"/>
      <c r="AN160" s="65"/>
      <c r="AO160" s="65"/>
      <c r="AP160" s="65"/>
    </row>
    <row r="161" s="81" customFormat="1" hidden="1" customHeight="1" outlineLevel="1" spans="1:42">
      <c r="A161" s="65"/>
      <c r="B161" s="106" t="s">
        <v>392</v>
      </c>
      <c r="C161" s="47"/>
      <c r="D161" s="47"/>
      <c r="E161" s="47"/>
      <c r="F161" s="47"/>
      <c r="G161" s="47"/>
      <c r="H161" s="47" t="s">
        <v>393</v>
      </c>
      <c r="I161" s="46" t="s">
        <v>58</v>
      </c>
      <c r="J161" s="46">
        <v>1</v>
      </c>
      <c r="K161" s="98">
        <v>2</v>
      </c>
      <c r="L161" s="98">
        <v>2</v>
      </c>
      <c r="M161" s="98">
        <v>2</v>
      </c>
      <c r="N161" s="98">
        <v>2</v>
      </c>
      <c r="O161" s="98"/>
      <c r="P161" s="5"/>
      <c r="Q161" s="65"/>
      <c r="R161" s="110"/>
      <c r="S161" s="65"/>
      <c r="T161" s="65"/>
      <c r="U161" s="65"/>
      <c r="V161" s="65"/>
      <c r="W161" s="65"/>
      <c r="X161" s="65"/>
      <c r="Y161" s="65"/>
      <c r="Z161" s="65"/>
      <c r="AA161" s="65"/>
      <c r="AB161" s="65"/>
      <c r="AC161" s="65"/>
      <c r="AD161" s="65"/>
      <c r="AE161" s="65"/>
      <c r="AF161" s="65"/>
      <c r="AG161" s="65"/>
      <c r="AH161" s="65"/>
      <c r="AI161" s="65"/>
      <c r="AJ161" s="65"/>
      <c r="AK161" s="65"/>
      <c r="AL161" s="65"/>
      <c r="AM161" s="65"/>
      <c r="AN161" s="65"/>
      <c r="AO161" s="65"/>
      <c r="AP161" s="65"/>
    </row>
    <row r="162" s="81" customFormat="1" hidden="1" customHeight="1" outlineLevel="1" spans="1:42">
      <c r="A162" s="65"/>
      <c r="B162" s="106" t="s">
        <v>394</v>
      </c>
      <c r="C162" s="47"/>
      <c r="D162" s="47"/>
      <c r="E162" s="47"/>
      <c r="F162" s="47"/>
      <c r="G162" s="47"/>
      <c r="H162" s="47" t="s">
        <v>395</v>
      </c>
      <c r="I162" s="46" t="s">
        <v>58</v>
      </c>
      <c r="J162" s="46">
        <v>1</v>
      </c>
      <c r="K162" s="98">
        <v>2</v>
      </c>
      <c r="L162" s="98">
        <v>2</v>
      </c>
      <c r="M162" s="98">
        <v>2</v>
      </c>
      <c r="N162" s="98">
        <v>2</v>
      </c>
      <c r="O162" s="98"/>
      <c r="P162" s="5"/>
      <c r="Q162" s="65"/>
      <c r="R162" s="110"/>
      <c r="S162" s="65"/>
      <c r="T162" s="65"/>
      <c r="U162" s="65"/>
      <c r="V162" s="65"/>
      <c r="W162" s="65"/>
      <c r="X162" s="65"/>
      <c r="Y162" s="65"/>
      <c r="Z162" s="65"/>
      <c r="AA162" s="65"/>
      <c r="AB162" s="65"/>
      <c r="AC162" s="65"/>
      <c r="AD162" s="65"/>
      <c r="AE162" s="65"/>
      <c r="AF162" s="65"/>
      <c r="AG162" s="65"/>
      <c r="AH162" s="65"/>
      <c r="AI162" s="65"/>
      <c r="AJ162" s="65"/>
      <c r="AK162" s="65"/>
      <c r="AL162" s="65"/>
      <c r="AM162" s="65"/>
      <c r="AN162" s="65"/>
      <c r="AO162" s="65"/>
      <c r="AP162" s="65"/>
    </row>
    <row r="163" s="81" customFormat="1" hidden="1" customHeight="1" outlineLevel="1" spans="1:42">
      <c r="A163" s="65"/>
      <c r="B163" s="106" t="s">
        <v>396</v>
      </c>
      <c r="C163" s="47"/>
      <c r="D163" s="47"/>
      <c r="E163" s="47"/>
      <c r="F163" s="47"/>
      <c r="G163" s="47"/>
      <c r="H163" s="47" t="s">
        <v>397</v>
      </c>
      <c r="I163" s="46" t="s">
        <v>58</v>
      </c>
      <c r="J163" s="46">
        <v>1</v>
      </c>
      <c r="K163" s="98">
        <v>2.5</v>
      </c>
      <c r="L163" s="98">
        <v>2.5</v>
      </c>
      <c r="M163" s="98">
        <v>2.5</v>
      </c>
      <c r="N163" s="98">
        <v>2.5</v>
      </c>
      <c r="O163" s="98"/>
      <c r="P163" s="5"/>
      <c r="Q163" s="65"/>
      <c r="R163" s="110"/>
      <c r="S163" s="65"/>
      <c r="T163" s="65"/>
      <c r="U163" s="65"/>
      <c r="V163" s="65"/>
      <c r="W163" s="65"/>
      <c r="X163" s="65"/>
      <c r="Y163" s="65"/>
      <c r="Z163" s="65"/>
      <c r="AA163" s="65"/>
      <c r="AB163" s="65"/>
      <c r="AC163" s="65"/>
      <c r="AD163" s="65"/>
      <c r="AE163" s="65"/>
      <c r="AF163" s="65"/>
      <c r="AG163" s="65"/>
      <c r="AH163" s="65"/>
      <c r="AI163" s="65"/>
      <c r="AJ163" s="65"/>
      <c r="AK163" s="65"/>
      <c r="AL163" s="65"/>
      <c r="AM163" s="65"/>
      <c r="AN163" s="65"/>
      <c r="AO163" s="65"/>
      <c r="AP163" s="65"/>
    </row>
    <row r="164" s="81" customFormat="1" hidden="1" customHeight="1" outlineLevel="1" spans="1:42">
      <c r="A164" s="65"/>
      <c r="B164" s="106" t="s">
        <v>398</v>
      </c>
      <c r="C164" s="47"/>
      <c r="D164" s="47"/>
      <c r="E164" s="47"/>
      <c r="F164" s="47"/>
      <c r="G164" s="47"/>
      <c r="H164" s="47" t="s">
        <v>399</v>
      </c>
      <c r="I164" s="46" t="s">
        <v>58</v>
      </c>
      <c r="J164" s="46">
        <v>1</v>
      </c>
      <c r="K164" s="98">
        <v>6</v>
      </c>
      <c r="L164" s="98">
        <v>6</v>
      </c>
      <c r="M164" s="98">
        <v>6</v>
      </c>
      <c r="N164" s="98">
        <v>6</v>
      </c>
      <c r="O164" s="98"/>
      <c r="P164" s="5"/>
      <c r="Q164" s="65"/>
      <c r="R164" s="110"/>
      <c r="S164" s="65"/>
      <c r="T164" s="65"/>
      <c r="U164" s="65"/>
      <c r="V164" s="65"/>
      <c r="W164" s="65"/>
      <c r="X164" s="65"/>
      <c r="Y164" s="65"/>
      <c r="Z164" s="65"/>
      <c r="AA164" s="65"/>
      <c r="AB164" s="65"/>
      <c r="AC164" s="65"/>
      <c r="AD164" s="65"/>
      <c r="AE164" s="65"/>
      <c r="AF164" s="65"/>
      <c r="AG164" s="65"/>
      <c r="AH164" s="65"/>
      <c r="AI164" s="65"/>
      <c r="AJ164" s="65"/>
      <c r="AK164" s="65"/>
      <c r="AL164" s="65"/>
      <c r="AM164" s="65"/>
      <c r="AN164" s="65"/>
      <c r="AO164" s="65"/>
      <c r="AP164" s="65"/>
    </row>
    <row r="165" s="81" customFormat="1" hidden="1" customHeight="1" outlineLevel="1" spans="1:42">
      <c r="A165" s="65"/>
      <c r="B165" s="106" t="s">
        <v>400</v>
      </c>
      <c r="C165" s="47"/>
      <c r="D165" s="47"/>
      <c r="E165" s="47"/>
      <c r="F165" s="47"/>
      <c r="G165" s="47"/>
      <c r="H165" s="47" t="s">
        <v>401</v>
      </c>
      <c r="I165" s="46" t="s">
        <v>58</v>
      </c>
      <c r="J165" s="46">
        <v>1</v>
      </c>
      <c r="K165" s="98">
        <v>2</v>
      </c>
      <c r="L165" s="98">
        <v>2</v>
      </c>
      <c r="M165" s="98">
        <v>2</v>
      </c>
      <c r="N165" s="98">
        <v>2</v>
      </c>
      <c r="O165" s="98"/>
      <c r="P165" s="5"/>
      <c r="Q165" s="65"/>
      <c r="R165" s="110"/>
      <c r="S165" s="65"/>
      <c r="T165" s="65"/>
      <c r="U165" s="65"/>
      <c r="V165" s="65"/>
      <c r="W165" s="65"/>
      <c r="X165" s="65"/>
      <c r="Y165" s="65"/>
      <c r="Z165" s="65"/>
      <c r="AA165" s="65"/>
      <c r="AB165" s="65"/>
      <c r="AC165" s="65"/>
      <c r="AD165" s="65"/>
      <c r="AE165" s="65"/>
      <c r="AF165" s="65"/>
      <c r="AG165" s="65"/>
      <c r="AH165" s="65"/>
      <c r="AI165" s="65"/>
      <c r="AJ165" s="65"/>
      <c r="AK165" s="65"/>
      <c r="AL165" s="65"/>
      <c r="AM165" s="65"/>
      <c r="AN165" s="65"/>
      <c r="AO165" s="65"/>
      <c r="AP165" s="65"/>
    </row>
    <row r="166" s="81" customFormat="1" hidden="1" customHeight="1" outlineLevel="1" spans="1:42">
      <c r="A166" s="65"/>
      <c r="B166" s="106" t="s">
        <v>402</v>
      </c>
      <c r="C166" s="47"/>
      <c r="D166" s="47"/>
      <c r="E166" s="47"/>
      <c r="F166" s="47"/>
      <c r="G166" s="47"/>
      <c r="H166" s="47" t="s">
        <v>393</v>
      </c>
      <c r="I166" s="46" t="s">
        <v>58</v>
      </c>
      <c r="J166" s="46">
        <v>1</v>
      </c>
      <c r="K166" s="98">
        <v>2</v>
      </c>
      <c r="L166" s="98">
        <v>2</v>
      </c>
      <c r="M166" s="98">
        <v>2</v>
      </c>
      <c r="N166" s="98">
        <v>2</v>
      </c>
      <c r="O166" s="98"/>
      <c r="P166" s="5"/>
      <c r="Q166" s="65"/>
      <c r="R166" s="110"/>
      <c r="S166" s="65"/>
      <c r="T166" s="65"/>
      <c r="U166" s="65"/>
      <c r="V166" s="65"/>
      <c r="W166" s="65"/>
      <c r="X166" s="65"/>
      <c r="Y166" s="65"/>
      <c r="Z166" s="65"/>
      <c r="AA166" s="65"/>
      <c r="AB166" s="65"/>
      <c r="AC166" s="65"/>
      <c r="AD166" s="65"/>
      <c r="AE166" s="65"/>
      <c r="AF166" s="65"/>
      <c r="AG166" s="65"/>
      <c r="AH166" s="65"/>
      <c r="AI166" s="65"/>
      <c r="AJ166" s="65"/>
      <c r="AK166" s="65"/>
      <c r="AL166" s="65"/>
      <c r="AM166" s="65"/>
      <c r="AN166" s="65"/>
      <c r="AO166" s="65"/>
      <c r="AP166" s="65"/>
    </row>
    <row r="167" s="81" customFormat="1" ht="18" customHeight="1" spans="1:42">
      <c r="A167" s="65"/>
      <c r="B167" s="46">
        <v>28</v>
      </c>
      <c r="C167" s="100" t="s">
        <v>53</v>
      </c>
      <c r="D167" s="100" t="s">
        <v>53</v>
      </c>
      <c r="E167" s="100" t="s">
        <v>403</v>
      </c>
      <c r="F167" s="100" t="s">
        <v>404</v>
      </c>
      <c r="G167" s="100" t="s">
        <v>405</v>
      </c>
      <c r="H167" s="100" t="s">
        <v>406</v>
      </c>
      <c r="I167" s="99" t="s">
        <v>58</v>
      </c>
      <c r="J167" s="99">
        <v>1</v>
      </c>
      <c r="K167" s="101">
        <v>2</v>
      </c>
      <c r="L167" s="99" t="s">
        <v>46</v>
      </c>
      <c r="M167" s="99" t="s">
        <v>46</v>
      </c>
      <c r="N167" s="99" t="s">
        <v>46</v>
      </c>
      <c r="O167" s="99" t="s">
        <v>46</v>
      </c>
      <c r="P167" s="102"/>
      <c r="Q167" s="65"/>
      <c r="R167" s="110"/>
      <c r="S167" s="65"/>
      <c r="T167" s="65"/>
      <c r="U167" s="65"/>
      <c r="V167" s="65"/>
      <c r="W167" s="65"/>
      <c r="X167" s="65"/>
      <c r="Y167" s="65"/>
      <c r="Z167" s="65"/>
      <c r="AA167" s="65"/>
      <c r="AB167" s="65"/>
      <c r="AC167" s="65"/>
      <c r="AD167" s="65"/>
      <c r="AE167" s="65"/>
      <c r="AF167" s="65"/>
      <c r="AG167" s="65"/>
      <c r="AH167" s="65"/>
      <c r="AI167" s="65"/>
      <c r="AJ167" s="65"/>
      <c r="AK167" s="65"/>
      <c r="AL167" s="65"/>
      <c r="AM167" s="65"/>
      <c r="AN167" s="65"/>
      <c r="AO167" s="65"/>
      <c r="AP167" s="65"/>
    </row>
    <row r="168" s="81" customFormat="1" ht="18" customHeight="1" spans="1:42">
      <c r="A168" s="65"/>
      <c r="B168" s="46">
        <v>29</v>
      </c>
      <c r="C168" s="100" t="s">
        <v>53</v>
      </c>
      <c r="D168" s="100" t="s">
        <v>53</v>
      </c>
      <c r="E168" s="100" t="s">
        <v>403</v>
      </c>
      <c r="F168" s="100" t="s">
        <v>404</v>
      </c>
      <c r="G168" s="100" t="s">
        <v>407</v>
      </c>
      <c r="H168" s="100" t="s">
        <v>408</v>
      </c>
      <c r="I168" s="99" t="s">
        <v>409</v>
      </c>
      <c r="J168" s="99">
        <v>1</v>
      </c>
      <c r="K168" s="101">
        <v>24</v>
      </c>
      <c r="L168" s="99" t="s">
        <v>46</v>
      </c>
      <c r="M168" s="99" t="s">
        <v>46</v>
      </c>
      <c r="N168" s="99" t="s">
        <v>46</v>
      </c>
      <c r="O168" s="99" t="s">
        <v>46</v>
      </c>
      <c r="P168" s="102"/>
      <c r="Q168" s="65"/>
      <c r="R168" s="110"/>
      <c r="S168" s="65"/>
      <c r="T168" s="65"/>
      <c r="U168" s="65"/>
      <c r="V168" s="65"/>
      <c r="W168" s="65"/>
      <c r="X168" s="65"/>
      <c r="Y168" s="65"/>
      <c r="Z168" s="65"/>
      <c r="AA168" s="65"/>
      <c r="AB168" s="65"/>
      <c r="AC168" s="65"/>
      <c r="AD168" s="65"/>
      <c r="AE168" s="65"/>
      <c r="AF168" s="65"/>
      <c r="AG168" s="65"/>
      <c r="AH168" s="65"/>
      <c r="AI168" s="65"/>
      <c r="AJ168" s="65"/>
      <c r="AK168" s="65"/>
      <c r="AL168" s="65"/>
      <c r="AM168" s="65"/>
      <c r="AN168" s="65"/>
      <c r="AO168" s="65"/>
      <c r="AP168" s="65"/>
    </row>
    <row r="169" s="81" customFormat="1" ht="18" customHeight="1" collapsed="1" spans="1:42">
      <c r="A169" s="65"/>
      <c r="B169" s="46">
        <v>30</v>
      </c>
      <c r="C169" s="100" t="s">
        <v>53</v>
      </c>
      <c r="D169" s="100" t="s">
        <v>53</v>
      </c>
      <c r="E169" s="100" t="s">
        <v>403</v>
      </c>
      <c r="F169" s="100" t="s">
        <v>410</v>
      </c>
      <c r="G169" s="100" t="s">
        <v>411</v>
      </c>
      <c r="H169" s="100" t="s">
        <v>412</v>
      </c>
      <c r="I169" s="99" t="s">
        <v>413</v>
      </c>
      <c r="J169" s="99">
        <v>1</v>
      </c>
      <c r="K169" s="101">
        <f>(K170+K171+K172+K174+K176)/5+(K173+K175+K177+K178)/10</f>
        <v>0.875</v>
      </c>
      <c r="L169" s="99" t="s">
        <v>46</v>
      </c>
      <c r="M169" s="99" t="s">
        <v>46</v>
      </c>
      <c r="N169" s="101">
        <f>(N170+N171+N172+N174+N176)/5+(N173+N175+N177+N178)/10</f>
        <v>1.14966666666667</v>
      </c>
      <c r="O169" s="99" t="s">
        <v>46</v>
      </c>
      <c r="P169" s="102"/>
      <c r="Q169" s="65"/>
      <c r="R169" s="110"/>
      <c r="S169" s="65"/>
      <c r="T169" s="65"/>
      <c r="U169" s="65"/>
      <c r="V169" s="65"/>
      <c r="W169" s="65"/>
      <c r="X169" s="65"/>
      <c r="Y169" s="65"/>
      <c r="Z169" s="65"/>
      <c r="AA169" s="65"/>
      <c r="AB169" s="65"/>
      <c r="AC169" s="65"/>
      <c r="AD169" s="65"/>
      <c r="AE169" s="65"/>
      <c r="AF169" s="65"/>
      <c r="AG169" s="65"/>
      <c r="AH169" s="65"/>
      <c r="AI169" s="65"/>
      <c r="AJ169" s="65"/>
      <c r="AK169" s="65"/>
      <c r="AL169" s="65"/>
      <c r="AM169" s="65"/>
      <c r="AN169" s="65"/>
      <c r="AO169" s="65"/>
      <c r="AP169" s="65"/>
    </row>
    <row r="170" s="81" customFormat="1" hidden="1" customHeight="1" outlineLevel="1" spans="1:42">
      <c r="B170" s="103">
        <v>30.1</v>
      </c>
      <c r="C170" s="111"/>
      <c r="D170" s="112"/>
      <c r="E170" s="112"/>
      <c r="F170" s="112"/>
      <c r="G170" s="112" t="s">
        <v>414</v>
      </c>
      <c r="H170" s="112" t="s">
        <v>415</v>
      </c>
      <c r="I170" s="111" t="s">
        <v>58</v>
      </c>
      <c r="J170" s="111">
        <v>1</v>
      </c>
      <c r="K170" s="113">
        <v>0.0833333333333333</v>
      </c>
      <c r="L170" s="111"/>
      <c r="M170" s="111"/>
      <c r="N170" s="113">
        <v>0.0833333333333333</v>
      </c>
      <c r="O170" s="111"/>
      <c r="P170" s="111"/>
      <c r="R170" s="110"/>
    </row>
    <row r="171" s="81" customFormat="1" hidden="1" customHeight="1" outlineLevel="1" spans="1:42">
      <c r="B171" s="103">
        <v>30.2</v>
      </c>
      <c r="C171" s="111"/>
      <c r="D171" s="112"/>
      <c r="E171" s="112"/>
      <c r="F171" s="112"/>
      <c r="G171" s="112" t="s">
        <v>416</v>
      </c>
      <c r="H171" s="112" t="s">
        <v>417</v>
      </c>
      <c r="I171" s="111" t="s">
        <v>418</v>
      </c>
      <c r="J171" s="111">
        <v>1</v>
      </c>
      <c r="K171" s="113">
        <v>0.5</v>
      </c>
      <c r="L171" s="111"/>
      <c r="M171" s="111"/>
      <c r="N171" s="113">
        <v>0.5</v>
      </c>
      <c r="O171" s="111"/>
      <c r="P171" s="111"/>
      <c r="R171" s="110"/>
    </row>
    <row r="172" s="81" customFormat="1" hidden="1" customHeight="1" outlineLevel="1" spans="1:42">
      <c r="B172" s="103">
        <v>30.3</v>
      </c>
      <c r="C172" s="111"/>
      <c r="D172" s="112"/>
      <c r="E172" s="112"/>
      <c r="F172" s="112"/>
      <c r="G172" s="112" t="s">
        <v>419</v>
      </c>
      <c r="H172" s="112" t="s">
        <v>420</v>
      </c>
      <c r="I172" s="111" t="s">
        <v>58</v>
      </c>
      <c r="J172" s="111">
        <v>1</v>
      </c>
      <c r="K172" s="113">
        <v>1</v>
      </c>
      <c r="L172" s="111"/>
      <c r="M172" s="111"/>
      <c r="N172" s="113">
        <v>1.5</v>
      </c>
      <c r="O172" s="111"/>
      <c r="P172" s="111"/>
      <c r="R172" s="110"/>
    </row>
    <row r="173" s="81" customFormat="1" hidden="1" customHeight="1" outlineLevel="1" spans="1:42">
      <c r="B173" s="103">
        <v>30.4</v>
      </c>
      <c r="C173" s="111"/>
      <c r="D173" s="112"/>
      <c r="E173" s="112"/>
      <c r="F173" s="112"/>
      <c r="G173" s="112" t="s">
        <v>419</v>
      </c>
      <c r="H173" s="112" t="s">
        <v>420</v>
      </c>
      <c r="I173" s="111" t="s">
        <v>421</v>
      </c>
      <c r="J173" s="111">
        <v>1</v>
      </c>
      <c r="K173" s="113">
        <v>1</v>
      </c>
      <c r="L173" s="111"/>
      <c r="M173" s="111"/>
      <c r="N173" s="113">
        <v>1.5</v>
      </c>
      <c r="O173" s="111"/>
      <c r="P173" s="111"/>
      <c r="R173" s="110"/>
    </row>
    <row r="174" s="81" customFormat="1" hidden="1" customHeight="1" outlineLevel="1" spans="1:42">
      <c r="B174" s="103">
        <v>30.5</v>
      </c>
      <c r="C174" s="111"/>
      <c r="D174" s="112"/>
      <c r="E174" s="112"/>
      <c r="F174" s="112"/>
      <c r="G174" s="112" t="s">
        <v>422</v>
      </c>
      <c r="H174" s="112" t="s">
        <v>423</v>
      </c>
      <c r="I174" s="111" t="s">
        <v>58</v>
      </c>
      <c r="J174" s="111">
        <v>1</v>
      </c>
      <c r="K174" s="113">
        <v>0.5</v>
      </c>
      <c r="L174" s="111"/>
      <c r="M174" s="111"/>
      <c r="N174" s="113">
        <v>0.75</v>
      </c>
      <c r="O174" s="111"/>
      <c r="P174" s="111"/>
      <c r="R174" s="110"/>
    </row>
    <row r="175" s="81" customFormat="1" hidden="1" customHeight="1" outlineLevel="1" spans="1:42">
      <c r="B175" s="103">
        <v>30.6</v>
      </c>
      <c r="C175" s="111"/>
      <c r="D175" s="112"/>
      <c r="E175" s="112"/>
      <c r="F175" s="112"/>
      <c r="G175" s="112" t="s">
        <v>424</v>
      </c>
      <c r="H175" s="112" t="s">
        <v>425</v>
      </c>
      <c r="I175" s="111" t="s">
        <v>421</v>
      </c>
      <c r="J175" s="111">
        <v>1</v>
      </c>
      <c r="K175" s="113">
        <v>0.25</v>
      </c>
      <c r="L175" s="111"/>
      <c r="M175" s="111"/>
      <c r="N175" s="113">
        <v>0.33</v>
      </c>
      <c r="O175" s="111"/>
      <c r="P175" s="111"/>
      <c r="R175" s="110"/>
    </row>
    <row r="176" s="81" customFormat="1" hidden="1" customHeight="1" outlineLevel="1" spans="1:42">
      <c r="B176" s="103">
        <v>30.7</v>
      </c>
      <c r="C176" s="111"/>
      <c r="D176" s="112"/>
      <c r="E176" s="112"/>
      <c r="F176" s="112"/>
      <c r="G176" s="112" t="s">
        <v>426</v>
      </c>
      <c r="H176" s="112" t="s">
        <v>422</v>
      </c>
      <c r="I176" s="111" t="s">
        <v>58</v>
      </c>
      <c r="J176" s="111">
        <v>1</v>
      </c>
      <c r="K176" s="113">
        <v>0.666666666666666</v>
      </c>
      <c r="L176" s="111"/>
      <c r="M176" s="111"/>
      <c r="N176" s="113">
        <v>1</v>
      </c>
      <c r="O176" s="111"/>
      <c r="P176" s="111"/>
      <c r="R176" s="110"/>
    </row>
    <row r="177" hidden="1" customHeight="1" outlineLevel="1" spans="1:42">
      <c r="A177" s="81"/>
      <c r="B177" s="103">
        <v>30.8</v>
      </c>
      <c r="C177" s="111"/>
      <c r="D177" s="112"/>
      <c r="E177" s="112"/>
      <c r="F177" s="112"/>
      <c r="G177" s="47" t="s">
        <v>424</v>
      </c>
      <c r="H177" s="112" t="s">
        <v>424</v>
      </c>
      <c r="I177" s="111" t="s">
        <v>421</v>
      </c>
      <c r="J177" s="111">
        <v>1</v>
      </c>
      <c r="K177" s="113">
        <v>1.5</v>
      </c>
      <c r="L177" s="111"/>
      <c r="M177" s="111"/>
      <c r="N177" s="113">
        <v>1.5</v>
      </c>
      <c r="O177" s="111"/>
      <c r="P177" s="111"/>
      <c r="Q177" s="81"/>
      <c r="R177" s="110"/>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row>
    <row r="178" s="81" customFormat="1" hidden="1" customHeight="1" outlineLevel="1" spans="1:42">
      <c r="B178" s="103">
        <v>30.9</v>
      </c>
      <c r="C178" s="111"/>
      <c r="D178" s="112"/>
      <c r="E178" s="112"/>
      <c r="F178" s="112"/>
      <c r="G178" s="112" t="s">
        <v>426</v>
      </c>
      <c r="H178" s="112" t="s">
        <v>427</v>
      </c>
      <c r="I178" s="111" t="s">
        <v>409</v>
      </c>
      <c r="J178" s="111">
        <v>1</v>
      </c>
      <c r="K178" s="113">
        <v>0.5</v>
      </c>
      <c r="L178" s="111"/>
      <c r="M178" s="111"/>
      <c r="N178" s="113">
        <v>0.5</v>
      </c>
      <c r="O178" s="111"/>
      <c r="P178" s="111"/>
      <c r="R178" s="110"/>
    </row>
    <row r="179" s="81" customFormat="1" ht="18" customHeight="1" collapsed="1" spans="1:42">
      <c r="A179" s="65"/>
      <c r="B179" s="46">
        <v>31</v>
      </c>
      <c r="C179" s="100" t="s">
        <v>53</v>
      </c>
      <c r="D179" s="100" t="s">
        <v>53</v>
      </c>
      <c r="E179" s="100" t="s">
        <v>403</v>
      </c>
      <c r="F179" s="100" t="s">
        <v>410</v>
      </c>
      <c r="G179" s="100" t="s">
        <v>428</v>
      </c>
      <c r="H179" s="100" t="s">
        <v>429</v>
      </c>
      <c r="I179" s="99" t="s">
        <v>413</v>
      </c>
      <c r="J179" s="99">
        <v>1</v>
      </c>
      <c r="K179" s="101">
        <f>SUM(K180:K193)/5</f>
        <v>0.683333333333333</v>
      </c>
      <c r="L179" s="99" t="s">
        <v>46</v>
      </c>
      <c r="M179" s="99" t="s">
        <v>46</v>
      </c>
      <c r="N179" s="101">
        <f>SUM(N180:N193)/5</f>
        <v>0.92</v>
      </c>
      <c r="O179" s="99" t="s">
        <v>46</v>
      </c>
      <c r="P179" s="102"/>
      <c r="Q179" s="65"/>
      <c r="R179" s="110"/>
      <c r="S179" s="65"/>
      <c r="T179" s="65"/>
      <c r="U179" s="65"/>
      <c r="V179" s="65"/>
      <c r="W179" s="65"/>
      <c r="X179" s="65"/>
      <c r="Y179" s="65"/>
      <c r="Z179" s="65"/>
      <c r="AA179" s="65"/>
      <c r="AB179" s="65"/>
      <c r="AC179" s="65"/>
      <c r="AD179" s="65"/>
      <c r="AE179" s="65"/>
      <c r="AF179" s="65"/>
      <c r="AG179" s="65"/>
      <c r="AH179" s="65"/>
      <c r="AI179" s="65"/>
      <c r="AJ179" s="65"/>
      <c r="AK179" s="65"/>
      <c r="AL179" s="65"/>
      <c r="AM179" s="65"/>
      <c r="AN179" s="65"/>
      <c r="AO179" s="65"/>
      <c r="AP179" s="65"/>
    </row>
    <row r="180" s="81" customFormat="1" hidden="1" customHeight="1" outlineLevel="1" spans="1:42">
      <c r="B180" s="106" t="s">
        <v>430</v>
      </c>
      <c r="C180" s="111"/>
      <c r="D180" s="112"/>
      <c r="E180" s="112"/>
      <c r="F180" s="112"/>
      <c r="G180" s="112" t="s">
        <v>431</v>
      </c>
      <c r="H180" s="112" t="s">
        <v>432</v>
      </c>
      <c r="I180" s="111" t="s">
        <v>58</v>
      </c>
      <c r="J180" s="111">
        <v>1</v>
      </c>
      <c r="K180" s="113">
        <v>0.0833333333333333</v>
      </c>
      <c r="L180" s="111"/>
      <c r="M180" s="111"/>
      <c r="N180" s="113">
        <v>0.0833333333333333</v>
      </c>
      <c r="O180" s="111"/>
      <c r="P180" s="111"/>
      <c r="R180" s="110"/>
    </row>
    <row r="181" s="81" customFormat="1" ht="24.75" hidden="1" customHeight="1" outlineLevel="1" spans="1:42">
      <c r="B181" s="106" t="s">
        <v>433</v>
      </c>
      <c r="C181" s="111"/>
      <c r="D181" s="112"/>
      <c r="E181" s="112"/>
      <c r="F181" s="112"/>
      <c r="G181" s="112" t="s">
        <v>434</v>
      </c>
      <c r="H181" s="114" t="s">
        <v>435</v>
      </c>
      <c r="I181" s="111" t="s">
        <v>58</v>
      </c>
      <c r="J181" s="111">
        <v>1</v>
      </c>
      <c r="K181" s="113">
        <v>0.166666666666667</v>
      </c>
      <c r="L181" s="111"/>
      <c r="M181" s="111"/>
      <c r="N181" s="113">
        <v>0.25</v>
      </c>
      <c r="O181" s="111"/>
      <c r="P181" s="111"/>
      <c r="R181" s="110"/>
    </row>
    <row r="182" s="81" customFormat="1" ht="48.75" hidden="1" customHeight="1" outlineLevel="1" spans="1:42">
      <c r="B182" s="106" t="s">
        <v>436</v>
      </c>
      <c r="C182" s="111"/>
      <c r="D182" s="112"/>
      <c r="E182" s="112"/>
      <c r="F182" s="112"/>
      <c r="G182" s="112" t="s">
        <v>437</v>
      </c>
      <c r="H182" s="114" t="s">
        <v>438</v>
      </c>
      <c r="I182" s="111" t="s">
        <v>58</v>
      </c>
      <c r="J182" s="111">
        <v>1</v>
      </c>
      <c r="K182" s="113">
        <v>0.0833333333333333</v>
      </c>
      <c r="L182" s="111"/>
      <c r="M182" s="111"/>
      <c r="N182" s="113">
        <v>0.0833333333333333</v>
      </c>
      <c r="O182" s="111"/>
      <c r="P182" s="111"/>
      <c r="R182" s="110"/>
    </row>
    <row r="183" s="81" customFormat="1" ht="36.75" hidden="1" customHeight="1" outlineLevel="1" spans="1:42">
      <c r="B183" s="106" t="s">
        <v>439</v>
      </c>
      <c r="C183" s="111"/>
      <c r="D183" s="112"/>
      <c r="E183" s="112"/>
      <c r="F183" s="112"/>
      <c r="G183" s="112" t="s">
        <v>440</v>
      </c>
      <c r="H183" s="114" t="s">
        <v>441</v>
      </c>
      <c r="I183" s="111" t="s">
        <v>58</v>
      </c>
      <c r="J183" s="111">
        <v>1</v>
      </c>
      <c r="K183" s="113">
        <v>0.333333333333333</v>
      </c>
      <c r="L183" s="111"/>
      <c r="M183" s="111"/>
      <c r="N183" s="113">
        <v>0.5</v>
      </c>
      <c r="O183" s="111"/>
      <c r="P183" s="111"/>
      <c r="R183" s="110"/>
    </row>
    <row r="184" s="81" customFormat="1" ht="72.75" hidden="1" customHeight="1" outlineLevel="1" spans="1:42">
      <c r="B184" s="106" t="s">
        <v>442</v>
      </c>
      <c r="C184" s="111"/>
      <c r="D184" s="112"/>
      <c r="E184" s="112"/>
      <c r="F184" s="112"/>
      <c r="G184" s="112" t="s">
        <v>443</v>
      </c>
      <c r="H184" s="114" t="s">
        <v>444</v>
      </c>
      <c r="I184" s="111" t="s">
        <v>58</v>
      </c>
      <c r="J184" s="111">
        <v>1</v>
      </c>
      <c r="K184" s="113">
        <v>0.5</v>
      </c>
      <c r="L184" s="111"/>
      <c r="M184" s="111"/>
      <c r="N184" s="113">
        <v>0.5</v>
      </c>
      <c r="O184" s="111"/>
      <c r="P184" s="111"/>
      <c r="R184" s="110"/>
    </row>
    <row r="185" s="81" customFormat="1" ht="84.75" hidden="1" customHeight="1" outlineLevel="1" spans="1:42">
      <c r="B185" s="106" t="s">
        <v>445</v>
      </c>
      <c r="C185" s="111"/>
      <c r="D185" s="112"/>
      <c r="E185" s="112"/>
      <c r="F185" s="112"/>
      <c r="G185" s="112" t="s">
        <v>446</v>
      </c>
      <c r="H185" s="114" t="s">
        <v>447</v>
      </c>
      <c r="I185" s="111" t="s">
        <v>58</v>
      </c>
      <c r="J185" s="111">
        <v>1</v>
      </c>
      <c r="K185" s="113">
        <v>0.166666666666667</v>
      </c>
      <c r="L185" s="111"/>
      <c r="M185" s="111"/>
      <c r="N185" s="113">
        <v>0.166666666666667</v>
      </c>
      <c r="O185" s="111"/>
      <c r="P185" s="111"/>
      <c r="R185" s="110"/>
    </row>
    <row r="186" s="81" customFormat="1" ht="24.75" hidden="1" customHeight="1" outlineLevel="1" spans="1:42">
      <c r="B186" s="106" t="s">
        <v>448</v>
      </c>
      <c r="C186" s="111"/>
      <c r="D186" s="112"/>
      <c r="E186" s="112"/>
      <c r="F186" s="112"/>
      <c r="G186" s="112" t="s">
        <v>449</v>
      </c>
      <c r="H186" s="114" t="s">
        <v>450</v>
      </c>
      <c r="I186" s="111" t="s">
        <v>58</v>
      </c>
      <c r="J186" s="111">
        <v>1</v>
      </c>
      <c r="K186" s="113">
        <v>0.333333333333334</v>
      </c>
      <c r="L186" s="111"/>
      <c r="M186" s="111"/>
      <c r="N186" s="113">
        <v>0.6</v>
      </c>
      <c r="O186" s="111"/>
      <c r="P186" s="111"/>
      <c r="R186" s="110"/>
    </row>
    <row r="187" s="81" customFormat="1" ht="96.75" hidden="1" customHeight="1" outlineLevel="1" spans="1:42">
      <c r="B187" s="106" t="s">
        <v>451</v>
      </c>
      <c r="C187" s="111"/>
      <c r="D187" s="112"/>
      <c r="E187" s="112"/>
      <c r="F187" s="112"/>
      <c r="G187" s="112" t="s">
        <v>452</v>
      </c>
      <c r="H187" s="114" t="s">
        <v>453</v>
      </c>
      <c r="I187" s="111" t="s">
        <v>58</v>
      </c>
      <c r="J187" s="111">
        <v>1</v>
      </c>
      <c r="K187" s="113">
        <v>0.333333333333333</v>
      </c>
      <c r="L187" s="111"/>
      <c r="M187" s="111"/>
      <c r="N187" s="113">
        <v>0.5</v>
      </c>
      <c r="O187" s="111"/>
      <c r="P187" s="111"/>
      <c r="R187" s="110"/>
    </row>
    <row r="188" s="81" customFormat="1" ht="48.75" hidden="1" customHeight="1" outlineLevel="1" spans="1:42">
      <c r="B188" s="106" t="s">
        <v>454</v>
      </c>
      <c r="C188" s="111"/>
      <c r="D188" s="112"/>
      <c r="E188" s="112"/>
      <c r="F188" s="112"/>
      <c r="G188" s="112" t="s">
        <v>455</v>
      </c>
      <c r="H188" s="114" t="s">
        <v>456</v>
      </c>
      <c r="I188" s="111" t="s">
        <v>421</v>
      </c>
      <c r="J188" s="111">
        <v>1</v>
      </c>
      <c r="K188" s="113">
        <v>0.333333333333334</v>
      </c>
      <c r="L188" s="111"/>
      <c r="M188" s="111"/>
      <c r="N188" s="113">
        <v>0.333333333333334</v>
      </c>
      <c r="O188" s="111"/>
      <c r="P188" s="111"/>
      <c r="R188" s="110"/>
    </row>
    <row r="189" s="81" customFormat="1" ht="24.75" hidden="1" customHeight="1" outlineLevel="1" spans="1:42">
      <c r="B189" s="106" t="s">
        <v>457</v>
      </c>
      <c r="C189" s="111"/>
      <c r="D189" s="112"/>
      <c r="E189" s="112"/>
      <c r="F189" s="112"/>
      <c r="G189" s="112" t="s">
        <v>458</v>
      </c>
      <c r="H189" s="114" t="s">
        <v>459</v>
      </c>
      <c r="I189" s="111" t="s">
        <v>421</v>
      </c>
      <c r="J189" s="111">
        <v>1</v>
      </c>
      <c r="K189" s="113">
        <v>0.0833333333333333</v>
      </c>
      <c r="L189" s="111"/>
      <c r="M189" s="111"/>
      <c r="N189" s="113">
        <v>0.0833333333333333</v>
      </c>
      <c r="O189" s="111"/>
      <c r="P189" s="111"/>
      <c r="R189" s="110"/>
    </row>
    <row r="190" s="81" customFormat="1" ht="84.75" hidden="1" customHeight="1" outlineLevel="1" spans="1:42">
      <c r="B190" s="106" t="s">
        <v>460</v>
      </c>
      <c r="C190" s="111"/>
      <c r="D190" s="112"/>
      <c r="E190" s="112"/>
      <c r="F190" s="112"/>
      <c r="G190" s="112" t="s">
        <v>461</v>
      </c>
      <c r="H190" s="114" t="s">
        <v>462</v>
      </c>
      <c r="I190" s="111" t="s">
        <v>421</v>
      </c>
      <c r="J190" s="111">
        <v>1</v>
      </c>
      <c r="K190" s="113">
        <v>0.666666666666666</v>
      </c>
      <c r="L190" s="111"/>
      <c r="M190" s="111"/>
      <c r="N190" s="113">
        <v>0.666666666666666</v>
      </c>
      <c r="O190" s="111"/>
      <c r="P190" s="111"/>
      <c r="R190" s="110"/>
    </row>
    <row r="191" s="81" customFormat="1" ht="24.75" hidden="1" customHeight="1" outlineLevel="1" spans="1:42">
      <c r="B191" s="106" t="s">
        <v>463</v>
      </c>
      <c r="C191" s="111"/>
      <c r="D191" s="112"/>
      <c r="E191" s="112"/>
      <c r="F191" s="112"/>
      <c r="G191" s="112" t="s">
        <v>464</v>
      </c>
      <c r="H191" s="114" t="s">
        <v>465</v>
      </c>
      <c r="I191" s="111" t="s">
        <v>421</v>
      </c>
      <c r="J191" s="111">
        <v>1</v>
      </c>
      <c r="K191" s="113">
        <v>0.333333333333333</v>
      </c>
      <c r="L191" s="111"/>
      <c r="M191" s="111"/>
      <c r="N191" s="113">
        <v>0.333333333333333</v>
      </c>
      <c r="O191" s="111"/>
      <c r="P191" s="111"/>
      <c r="R191" s="110"/>
    </row>
    <row r="192" ht="180.75" hidden="1" customHeight="1" outlineLevel="1" spans="1:42">
      <c r="A192" s="81"/>
      <c r="B192" s="106" t="s">
        <v>466</v>
      </c>
      <c r="C192" s="111"/>
      <c r="D192" s="112"/>
      <c r="E192" s="112"/>
      <c r="F192" s="112"/>
      <c r="G192" s="112" t="s">
        <v>467</v>
      </c>
      <c r="H192" s="114" t="s">
        <v>468</v>
      </c>
      <c r="I192" s="111" t="s">
        <v>421</v>
      </c>
      <c r="J192" s="111">
        <v>1</v>
      </c>
      <c r="K192" s="113">
        <v>0</v>
      </c>
      <c r="L192" s="111"/>
      <c r="M192" s="111"/>
      <c r="N192" s="113">
        <v>0</v>
      </c>
      <c r="O192" s="111"/>
      <c r="P192" s="111"/>
      <c r="Q192" s="81"/>
      <c r="R192" s="110"/>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row>
    <row r="193" s="81" customFormat="1" ht="276.75" hidden="1" customHeight="1" outlineLevel="1" spans="1:42">
      <c r="B193" s="106" t="s">
        <v>469</v>
      </c>
      <c r="C193" s="111"/>
      <c r="D193" s="112"/>
      <c r="E193" s="112"/>
      <c r="F193" s="112"/>
      <c r="G193" s="112" t="s">
        <v>470</v>
      </c>
      <c r="H193" s="114" t="s">
        <v>471</v>
      </c>
      <c r="I193" s="111" t="s">
        <v>421</v>
      </c>
      <c r="J193" s="111">
        <v>1</v>
      </c>
      <c r="K193" s="113">
        <v>0</v>
      </c>
      <c r="L193" s="111"/>
      <c r="M193" s="111"/>
      <c r="N193" s="113">
        <v>0.5</v>
      </c>
      <c r="O193" s="111"/>
      <c r="P193" s="111"/>
      <c r="R193" s="110"/>
    </row>
    <row r="194" s="81" customFormat="1" ht="18" customHeight="1" collapsed="1" spans="1:42">
      <c r="A194" s="65"/>
      <c r="B194" s="46">
        <v>32</v>
      </c>
      <c r="C194" s="100" t="s">
        <v>53</v>
      </c>
      <c r="D194" s="100" t="s">
        <v>53</v>
      </c>
      <c r="E194" s="100" t="s">
        <v>403</v>
      </c>
      <c r="F194" s="100" t="s">
        <v>410</v>
      </c>
      <c r="G194" s="100" t="s">
        <v>472</v>
      </c>
      <c r="H194" s="100" t="s">
        <v>473</v>
      </c>
      <c r="I194" s="99" t="s">
        <v>413</v>
      </c>
      <c r="J194" s="99">
        <v>1</v>
      </c>
      <c r="K194" s="101">
        <f>(SUM(K195:K202)/5)</f>
        <v>0.517333333333333</v>
      </c>
      <c r="L194" s="99" t="s">
        <v>46</v>
      </c>
      <c r="M194" s="99" t="s">
        <v>46</v>
      </c>
      <c r="N194" s="101">
        <f>(SUM(N195:N202)/5)</f>
        <v>0.517333333333333</v>
      </c>
      <c r="O194" s="99" t="s">
        <v>46</v>
      </c>
      <c r="P194" s="102"/>
      <c r="Q194" s="65"/>
      <c r="R194" s="110"/>
      <c r="S194" s="65"/>
      <c r="T194" s="65"/>
      <c r="U194" s="65"/>
      <c r="V194" s="65"/>
      <c r="W194" s="65"/>
      <c r="X194" s="65"/>
      <c r="Y194" s="65"/>
      <c r="Z194" s="65"/>
      <c r="AA194" s="65"/>
      <c r="AB194" s="65"/>
      <c r="AC194" s="65"/>
      <c r="AD194" s="65"/>
      <c r="AE194" s="65"/>
      <c r="AF194" s="65"/>
      <c r="AG194" s="65"/>
      <c r="AH194" s="65"/>
      <c r="AI194" s="65"/>
      <c r="AJ194" s="65"/>
      <c r="AK194" s="65"/>
      <c r="AL194" s="65"/>
      <c r="AM194" s="65"/>
      <c r="AN194" s="65"/>
      <c r="AO194" s="65"/>
      <c r="AP194" s="65"/>
    </row>
    <row r="195" s="81" customFormat="1" ht="96.75" hidden="1" customHeight="1" outlineLevel="1" spans="1:42">
      <c r="B195" s="103">
        <v>32.1</v>
      </c>
      <c r="C195" s="47"/>
      <c r="D195" s="47"/>
      <c r="E195" s="47"/>
      <c r="F195" s="47"/>
      <c r="G195" s="112" t="s">
        <v>474</v>
      </c>
      <c r="H195" s="114" t="s">
        <v>475</v>
      </c>
      <c r="I195" s="111" t="s">
        <v>421</v>
      </c>
      <c r="J195" s="111">
        <v>1</v>
      </c>
      <c r="K195" s="104">
        <v>0.17</v>
      </c>
      <c r="L195" s="46"/>
      <c r="M195" s="46"/>
      <c r="N195" s="104">
        <v>0.17</v>
      </c>
      <c r="O195" s="46"/>
      <c r="P195" s="5"/>
      <c r="R195" s="110"/>
    </row>
    <row r="196" s="81" customFormat="1" ht="36.75" hidden="1" customHeight="1" outlineLevel="1" spans="1:42">
      <c r="B196" s="103">
        <v>32.2</v>
      </c>
      <c r="C196" s="47"/>
      <c r="D196" s="47"/>
      <c r="E196" s="47"/>
      <c r="F196" s="47"/>
      <c r="G196" s="112" t="s">
        <v>476</v>
      </c>
      <c r="H196" s="114" t="s">
        <v>477</v>
      </c>
      <c r="I196" s="111" t="s">
        <v>421</v>
      </c>
      <c r="J196" s="111">
        <v>1</v>
      </c>
      <c r="K196" s="113">
        <v>0.5</v>
      </c>
      <c r="L196" s="46"/>
      <c r="M196" s="46"/>
      <c r="N196" s="113">
        <v>0.5</v>
      </c>
      <c r="O196" s="46"/>
      <c r="P196" s="5"/>
      <c r="R196" s="110"/>
    </row>
    <row r="197" s="81" customFormat="1" ht="48.75" hidden="1" customHeight="1" outlineLevel="1" spans="1:42">
      <c r="B197" s="103">
        <v>32.3</v>
      </c>
      <c r="C197" s="47"/>
      <c r="D197" s="47"/>
      <c r="E197" s="47"/>
      <c r="F197" s="47"/>
      <c r="G197" s="112" t="s">
        <v>478</v>
      </c>
      <c r="H197" s="114" t="s">
        <v>479</v>
      </c>
      <c r="I197" s="111" t="s">
        <v>58</v>
      </c>
      <c r="J197" s="111">
        <v>1</v>
      </c>
      <c r="K197" s="113">
        <v>0.166666666666667</v>
      </c>
      <c r="L197" s="46"/>
      <c r="M197" s="46"/>
      <c r="N197" s="113">
        <v>0.166666666666667</v>
      </c>
      <c r="O197" s="46"/>
      <c r="P197" s="5"/>
      <c r="R197" s="110"/>
    </row>
    <row r="198" s="81" customFormat="1" ht="24.75" hidden="1" customHeight="1" outlineLevel="1" spans="1:42">
      <c r="B198" s="103">
        <v>32.4</v>
      </c>
      <c r="C198" s="47"/>
      <c r="D198" s="47"/>
      <c r="E198" s="47"/>
      <c r="F198" s="47"/>
      <c r="G198" s="112" t="s">
        <v>480</v>
      </c>
      <c r="H198" s="114" t="s">
        <v>481</v>
      </c>
      <c r="I198" s="111" t="s">
        <v>58</v>
      </c>
      <c r="J198" s="111">
        <v>2</v>
      </c>
      <c r="K198" s="113">
        <v>0.166666666666667</v>
      </c>
      <c r="L198" s="46"/>
      <c r="M198" s="46"/>
      <c r="N198" s="113">
        <v>0.166666666666667</v>
      </c>
      <c r="O198" s="46"/>
      <c r="P198" s="5"/>
      <c r="R198" s="110"/>
    </row>
    <row r="199" s="81" customFormat="1" ht="48.75" hidden="1" customHeight="1" outlineLevel="1" spans="1:42">
      <c r="B199" s="103">
        <v>32.5</v>
      </c>
      <c r="C199" s="47"/>
      <c r="D199" s="47"/>
      <c r="E199" s="47"/>
      <c r="F199" s="47"/>
      <c r="G199" s="112" t="s">
        <v>482</v>
      </c>
      <c r="H199" s="114" t="s">
        <v>483</v>
      </c>
      <c r="I199" s="111" t="s">
        <v>421</v>
      </c>
      <c r="J199" s="111">
        <v>1</v>
      </c>
      <c r="K199" s="113">
        <v>0.333333333333334</v>
      </c>
      <c r="L199" s="46"/>
      <c r="M199" s="46"/>
      <c r="N199" s="113">
        <v>0.333333333333334</v>
      </c>
      <c r="O199" s="46"/>
      <c r="P199" s="5"/>
      <c r="R199" s="110"/>
    </row>
    <row r="200" s="81" customFormat="1" ht="60.75" hidden="1" customHeight="1" outlineLevel="1" spans="1:42">
      <c r="B200" s="103">
        <v>32.6</v>
      </c>
      <c r="C200" s="47"/>
      <c r="D200" s="47"/>
      <c r="E200" s="47"/>
      <c r="F200" s="47"/>
      <c r="G200" s="112" t="s">
        <v>484</v>
      </c>
      <c r="H200" s="114" t="s">
        <v>485</v>
      </c>
      <c r="I200" s="111" t="s">
        <v>58</v>
      </c>
      <c r="J200" s="111">
        <v>1</v>
      </c>
      <c r="K200" s="113">
        <v>1.08333333333333</v>
      </c>
      <c r="L200" s="46"/>
      <c r="M200" s="46"/>
      <c r="N200" s="113">
        <v>1.08333333333333</v>
      </c>
      <c r="O200" s="46"/>
      <c r="P200" s="5"/>
      <c r="R200" s="110"/>
    </row>
    <row r="201" s="81" customFormat="1" hidden="1" customHeight="1" outlineLevel="1" spans="1:42">
      <c r="B201" s="103">
        <v>32.7</v>
      </c>
      <c r="C201" s="47"/>
      <c r="D201" s="47"/>
      <c r="E201" s="47"/>
      <c r="F201" s="47"/>
      <c r="G201" s="112" t="s">
        <v>486</v>
      </c>
      <c r="H201" s="112" t="s">
        <v>487</v>
      </c>
      <c r="I201" s="111" t="s">
        <v>58</v>
      </c>
      <c r="J201" s="111">
        <v>1</v>
      </c>
      <c r="K201" s="113">
        <v>0.0833333333333333</v>
      </c>
      <c r="L201" s="46"/>
      <c r="M201" s="46"/>
      <c r="N201" s="113">
        <v>0.0833333333333333</v>
      </c>
      <c r="O201" s="46"/>
      <c r="P201" s="5"/>
      <c r="R201" s="110"/>
    </row>
    <row r="202" s="81" customFormat="1" ht="48.75" hidden="1" customHeight="1" outlineLevel="1" spans="1:42">
      <c r="B202" s="103">
        <v>32.8</v>
      </c>
      <c r="C202" s="47"/>
      <c r="D202" s="47"/>
      <c r="E202" s="47"/>
      <c r="F202" s="47"/>
      <c r="G202" s="112" t="s">
        <v>488</v>
      </c>
      <c r="H202" s="114" t="s">
        <v>489</v>
      </c>
      <c r="I202" s="111" t="s">
        <v>58</v>
      </c>
      <c r="J202" s="111">
        <v>1</v>
      </c>
      <c r="K202" s="113">
        <v>0.0833333333333333</v>
      </c>
      <c r="L202" s="46"/>
      <c r="M202" s="46"/>
      <c r="N202" s="113">
        <v>0.0833333333333333</v>
      </c>
      <c r="O202" s="46"/>
      <c r="P202" s="5"/>
      <c r="R202" s="110"/>
    </row>
    <row r="203" s="81" customFormat="1" ht="18" customHeight="1" collapsed="1" spans="1:42">
      <c r="B203" s="46">
        <v>33</v>
      </c>
      <c r="C203" s="100" t="s">
        <v>53</v>
      </c>
      <c r="D203" s="100" t="s">
        <v>53</v>
      </c>
      <c r="E203" s="100" t="s">
        <v>403</v>
      </c>
      <c r="F203" s="100" t="s">
        <v>410</v>
      </c>
      <c r="G203" s="100" t="s">
        <v>490</v>
      </c>
      <c r="H203" s="100" t="s">
        <v>491</v>
      </c>
      <c r="I203" s="99" t="s">
        <v>409</v>
      </c>
      <c r="J203" s="99">
        <v>1</v>
      </c>
      <c r="K203" s="101">
        <f>SUMIF(I204:I211,"站",K204:K211)</f>
        <v>2.83333333333333</v>
      </c>
      <c r="L203" s="99" t="s">
        <v>46</v>
      </c>
      <c r="M203" s="99" t="s">
        <v>46</v>
      </c>
      <c r="N203" s="101">
        <f>SUMIF(I204:I211,"站",N204:N211)</f>
        <v>2.83333333333333</v>
      </c>
      <c r="O203" s="99" t="s">
        <v>46</v>
      </c>
      <c r="P203" s="102"/>
      <c r="R203" s="110"/>
    </row>
    <row r="204" s="81" customFormat="1" ht="24.75" hidden="1" customHeight="1" outlineLevel="1" spans="1:42">
      <c r="B204" s="106">
        <v>33.1</v>
      </c>
      <c r="C204" s="111"/>
      <c r="D204" s="112"/>
      <c r="E204" s="112"/>
      <c r="F204" s="112"/>
      <c r="G204" s="112" t="s">
        <v>492</v>
      </c>
      <c r="H204" s="114" t="s">
        <v>493</v>
      </c>
      <c r="I204" s="111" t="s">
        <v>409</v>
      </c>
      <c r="J204" s="111">
        <v>1</v>
      </c>
      <c r="K204" s="113">
        <v>1</v>
      </c>
      <c r="L204" s="111"/>
      <c r="M204" s="111"/>
      <c r="N204" s="113">
        <v>1</v>
      </c>
      <c r="O204" s="111"/>
      <c r="P204" s="111"/>
      <c r="R204" s="110"/>
    </row>
    <row r="205" s="81" customFormat="1" ht="24.75" hidden="1" customHeight="1" outlineLevel="1" spans="1:42">
      <c r="B205" s="106" t="s">
        <v>494</v>
      </c>
      <c r="C205" s="111"/>
      <c r="D205" s="112"/>
      <c r="E205" s="112"/>
      <c r="F205" s="112"/>
      <c r="G205" s="112" t="s">
        <v>495</v>
      </c>
      <c r="H205" s="114" t="s">
        <v>496</v>
      </c>
      <c r="I205" s="111" t="s">
        <v>409</v>
      </c>
      <c r="J205" s="111">
        <v>1</v>
      </c>
      <c r="K205" s="113">
        <v>0.0833333333333333</v>
      </c>
      <c r="L205" s="111"/>
      <c r="M205" s="111"/>
      <c r="N205" s="113">
        <v>0.0833333333333333</v>
      </c>
      <c r="O205" s="111"/>
      <c r="P205" s="111"/>
      <c r="R205" s="110"/>
    </row>
    <row r="206" s="81" customFormat="1" ht="24.75" hidden="1" customHeight="1" outlineLevel="1" spans="1:42">
      <c r="B206" s="106" t="s">
        <v>497</v>
      </c>
      <c r="C206" s="111"/>
      <c r="D206" s="112"/>
      <c r="E206" s="112"/>
      <c r="F206" s="112"/>
      <c r="G206" s="112" t="s">
        <v>498</v>
      </c>
      <c r="H206" s="114" t="s">
        <v>499</v>
      </c>
      <c r="I206" s="111" t="s">
        <v>409</v>
      </c>
      <c r="J206" s="111">
        <v>1</v>
      </c>
      <c r="K206" s="113">
        <v>0.333333333333333</v>
      </c>
      <c r="L206" s="111"/>
      <c r="M206" s="111"/>
      <c r="N206" s="113">
        <v>0.333333333333333</v>
      </c>
      <c r="O206" s="111"/>
      <c r="P206" s="111"/>
      <c r="R206" s="110"/>
    </row>
    <row r="207" s="81" customFormat="1" ht="48.75" hidden="1" customHeight="1" outlineLevel="1" spans="1:42">
      <c r="B207" s="106" t="s">
        <v>500</v>
      </c>
      <c r="C207" s="111"/>
      <c r="D207" s="112"/>
      <c r="E207" s="112"/>
      <c r="F207" s="112"/>
      <c r="G207" s="112" t="s">
        <v>501</v>
      </c>
      <c r="H207" s="114" t="s">
        <v>502</v>
      </c>
      <c r="I207" s="111" t="s">
        <v>409</v>
      </c>
      <c r="J207" s="111">
        <v>1</v>
      </c>
      <c r="K207" s="113">
        <v>0.333333333333333</v>
      </c>
      <c r="L207" s="111"/>
      <c r="M207" s="111"/>
      <c r="N207" s="113">
        <v>0.333333333333333</v>
      </c>
      <c r="O207" s="111"/>
      <c r="P207" s="111"/>
      <c r="R207" s="110"/>
    </row>
    <row r="208" s="81" customFormat="1" ht="24.75" hidden="1" customHeight="1" outlineLevel="1" spans="1:42">
      <c r="B208" s="106" t="s">
        <v>503</v>
      </c>
      <c r="C208" s="111"/>
      <c r="D208" s="112"/>
      <c r="E208" s="112"/>
      <c r="F208" s="112"/>
      <c r="G208" s="112" t="s">
        <v>504</v>
      </c>
      <c r="H208" s="114" t="s">
        <v>505</v>
      </c>
      <c r="I208" s="111" t="s">
        <v>409</v>
      </c>
      <c r="J208" s="111">
        <v>1</v>
      </c>
      <c r="K208" s="113">
        <v>0.25</v>
      </c>
      <c r="L208" s="111"/>
      <c r="M208" s="111"/>
      <c r="N208" s="113">
        <v>0.25</v>
      </c>
      <c r="O208" s="111"/>
      <c r="P208" s="111"/>
      <c r="R208" s="110"/>
    </row>
    <row r="209" s="81" customFormat="1" hidden="1" customHeight="1" outlineLevel="1" spans="1:42">
      <c r="B209" s="106" t="s">
        <v>506</v>
      </c>
      <c r="C209" s="111"/>
      <c r="D209" s="112"/>
      <c r="E209" s="112"/>
      <c r="F209" s="112"/>
      <c r="G209" s="112" t="s">
        <v>507</v>
      </c>
      <c r="H209" s="112" t="s">
        <v>508</v>
      </c>
      <c r="I209" s="111" t="s">
        <v>409</v>
      </c>
      <c r="J209" s="111">
        <v>1</v>
      </c>
      <c r="K209" s="113">
        <v>0.25</v>
      </c>
      <c r="L209" s="111"/>
      <c r="M209" s="111"/>
      <c r="N209" s="113">
        <v>0.25</v>
      </c>
      <c r="O209" s="111"/>
      <c r="P209" s="111"/>
      <c r="R209" s="110"/>
    </row>
    <row r="210" ht="24.75" hidden="1" customHeight="1" outlineLevel="1" spans="1:42">
      <c r="A210" s="81"/>
      <c r="B210" s="106" t="s">
        <v>509</v>
      </c>
      <c r="C210" s="111"/>
      <c r="D210" s="112"/>
      <c r="E210" s="112"/>
      <c r="F210" s="112"/>
      <c r="G210" s="112" t="s">
        <v>510</v>
      </c>
      <c r="H210" s="114" t="s">
        <v>511</v>
      </c>
      <c r="I210" s="111" t="s">
        <v>409</v>
      </c>
      <c r="J210" s="111">
        <v>1</v>
      </c>
      <c r="K210" s="113">
        <v>0.25</v>
      </c>
      <c r="L210" s="111"/>
      <c r="M210" s="111"/>
      <c r="N210" s="113">
        <v>0.25</v>
      </c>
      <c r="O210" s="111"/>
      <c r="P210" s="111"/>
      <c r="Q210" s="81"/>
      <c r="R210" s="110"/>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row>
    <row r="211" s="81" customFormat="1" ht="24.75" hidden="1" customHeight="1" outlineLevel="1" spans="1:42">
      <c r="B211" s="106" t="s">
        <v>512</v>
      </c>
      <c r="C211" s="111"/>
      <c r="D211" s="112"/>
      <c r="E211" s="112"/>
      <c r="F211" s="112"/>
      <c r="G211" s="112" t="s">
        <v>513</v>
      </c>
      <c r="H211" s="114" t="s">
        <v>514</v>
      </c>
      <c r="I211" s="111" t="s">
        <v>409</v>
      </c>
      <c r="J211" s="111">
        <v>1</v>
      </c>
      <c r="K211" s="113">
        <v>0.333333333333333</v>
      </c>
      <c r="L211" s="111" t="s">
        <v>46</v>
      </c>
      <c r="M211" s="111" t="s">
        <v>46</v>
      </c>
      <c r="N211" s="113">
        <v>0.333333333333333</v>
      </c>
      <c r="O211" s="111" t="s">
        <v>46</v>
      </c>
      <c r="P211" s="111"/>
      <c r="R211" s="110"/>
    </row>
    <row r="212" s="81" customFormat="1" ht="18" customHeight="1" collapsed="1" spans="1:42">
      <c r="A212" s="65"/>
      <c r="B212" s="46">
        <v>34</v>
      </c>
      <c r="C212" s="100" t="s">
        <v>53</v>
      </c>
      <c r="D212" s="100" t="s">
        <v>53</v>
      </c>
      <c r="E212" s="100" t="s">
        <v>403</v>
      </c>
      <c r="F212" s="100" t="s">
        <v>410</v>
      </c>
      <c r="G212" s="100" t="s">
        <v>515</v>
      </c>
      <c r="H212" s="100" t="s">
        <v>516</v>
      </c>
      <c r="I212" s="99" t="s">
        <v>413</v>
      </c>
      <c r="J212" s="99">
        <v>1</v>
      </c>
      <c r="K212" s="101">
        <f>SUM(K213:K214)/10+K215/5</f>
        <v>0.4</v>
      </c>
      <c r="L212" s="99" t="s">
        <v>46</v>
      </c>
      <c r="M212" s="99" t="s">
        <v>46</v>
      </c>
      <c r="N212" s="101">
        <f>SUM(N213:N214)/10+N215/5</f>
        <v>0.6</v>
      </c>
      <c r="O212" s="99" t="s">
        <v>46</v>
      </c>
      <c r="P212" s="102"/>
      <c r="Q212" s="65"/>
      <c r="R212" s="110"/>
      <c r="S212" s="65"/>
      <c r="T212" s="65"/>
      <c r="U212" s="65"/>
      <c r="V212" s="65"/>
      <c r="W212" s="65"/>
      <c r="X212" s="65"/>
      <c r="Y212" s="65"/>
      <c r="Z212" s="65"/>
      <c r="AA212" s="65"/>
      <c r="AB212" s="65"/>
      <c r="AC212" s="65"/>
      <c r="AD212" s="65"/>
      <c r="AE212" s="65"/>
      <c r="AF212" s="65"/>
      <c r="AG212" s="65"/>
      <c r="AH212" s="65"/>
      <c r="AI212" s="65"/>
      <c r="AJ212" s="65"/>
      <c r="AK212" s="65"/>
      <c r="AL212" s="65"/>
      <c r="AM212" s="65"/>
      <c r="AN212" s="65"/>
      <c r="AO212" s="65"/>
      <c r="AP212" s="65"/>
    </row>
    <row r="213" s="81" customFormat="1" ht="252.75" hidden="1" customHeight="1" outlineLevel="1" spans="1:42">
      <c r="B213" s="46">
        <v>34.1</v>
      </c>
      <c r="C213" s="111"/>
      <c r="D213" s="112"/>
      <c r="E213" s="112"/>
      <c r="F213" s="112"/>
      <c r="G213" s="112" t="s">
        <v>517</v>
      </c>
      <c r="H213" s="114" t="s">
        <v>518</v>
      </c>
      <c r="I213" s="111" t="s">
        <v>421</v>
      </c>
      <c r="J213" s="111">
        <v>1</v>
      </c>
      <c r="K213" s="113">
        <v>1</v>
      </c>
      <c r="L213" s="111"/>
      <c r="M213" s="111"/>
      <c r="N213" s="113">
        <v>1.5</v>
      </c>
      <c r="O213" s="111"/>
      <c r="P213" s="111"/>
      <c r="R213" s="110"/>
    </row>
    <row r="214" ht="192.75" hidden="1" customHeight="1" outlineLevel="1" spans="1:42">
      <c r="A214" s="81"/>
      <c r="B214" s="46">
        <v>34.2</v>
      </c>
      <c r="C214" s="111"/>
      <c r="D214" s="112"/>
      <c r="E214" s="112"/>
      <c r="F214" s="112"/>
      <c r="G214" s="112" t="s">
        <v>519</v>
      </c>
      <c r="H214" s="114" t="s">
        <v>520</v>
      </c>
      <c r="I214" s="111" t="s">
        <v>421</v>
      </c>
      <c r="J214" s="111">
        <v>1</v>
      </c>
      <c r="K214" s="113">
        <v>1</v>
      </c>
      <c r="L214" s="111"/>
      <c r="M214" s="111"/>
      <c r="N214" s="113">
        <v>1.5</v>
      </c>
      <c r="O214" s="111"/>
      <c r="P214" s="111"/>
      <c r="Q214" s="81"/>
      <c r="R214" s="110"/>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row>
    <row r="215" s="81" customFormat="1" ht="72.75" hidden="1" customHeight="1" outlineLevel="1" spans="1:42">
      <c r="B215" s="46">
        <v>34.3</v>
      </c>
      <c r="C215" s="111"/>
      <c r="D215" s="112"/>
      <c r="E215" s="112"/>
      <c r="F215" s="112"/>
      <c r="G215" s="112" t="s">
        <v>521</v>
      </c>
      <c r="H215" s="114" t="s">
        <v>522</v>
      </c>
      <c r="I215" s="111" t="s">
        <v>58</v>
      </c>
      <c r="J215" s="111">
        <v>1</v>
      </c>
      <c r="K215" s="113">
        <v>1</v>
      </c>
      <c r="L215" s="111"/>
      <c r="M215" s="111"/>
      <c r="N215" s="113">
        <v>1.5</v>
      </c>
      <c r="O215" s="111"/>
      <c r="P215" s="111"/>
      <c r="R215" s="110"/>
    </row>
    <row r="216" s="81" customFormat="1" ht="18" customHeight="1" collapsed="1" spans="1:42">
      <c r="A216" s="65"/>
      <c r="B216" s="46">
        <v>35</v>
      </c>
      <c r="C216" s="100" t="s">
        <v>53</v>
      </c>
      <c r="D216" s="100" t="s">
        <v>53</v>
      </c>
      <c r="E216" s="100" t="s">
        <v>403</v>
      </c>
      <c r="F216" s="100" t="s">
        <v>410</v>
      </c>
      <c r="G216" s="100" t="s">
        <v>523</v>
      </c>
      <c r="H216" s="100" t="s">
        <v>524</v>
      </c>
      <c r="I216" s="99" t="s">
        <v>413</v>
      </c>
      <c r="J216" s="99">
        <v>1</v>
      </c>
      <c r="K216" s="101">
        <f>(SUM(K217:K224)/5)</f>
        <v>0.666666666666666</v>
      </c>
      <c r="L216" s="99" t="s">
        <v>46</v>
      </c>
      <c r="M216" s="99" t="s">
        <v>46</v>
      </c>
      <c r="N216" s="101">
        <f>(SUM(N226:N232)-N225)/5</f>
        <v>0</v>
      </c>
      <c r="O216" s="99" t="s">
        <v>46</v>
      </c>
      <c r="P216" s="102"/>
      <c r="Q216" s="65"/>
      <c r="R216" s="110"/>
      <c r="S216" s="65"/>
      <c r="T216" s="65"/>
      <c r="U216" s="65"/>
      <c r="V216" s="65"/>
      <c r="W216" s="65"/>
      <c r="X216" s="65"/>
      <c r="Y216" s="65"/>
      <c r="Z216" s="65"/>
      <c r="AA216" s="65"/>
      <c r="AB216" s="65"/>
      <c r="AC216" s="65"/>
      <c r="AD216" s="65"/>
      <c r="AE216" s="65"/>
      <c r="AF216" s="65"/>
      <c r="AG216" s="65"/>
      <c r="AH216" s="65"/>
      <c r="AI216" s="65"/>
      <c r="AJ216" s="65"/>
      <c r="AK216" s="65"/>
      <c r="AL216" s="65"/>
      <c r="AM216" s="65"/>
      <c r="AN216" s="65"/>
      <c r="AO216" s="65"/>
      <c r="AP216" s="65"/>
    </row>
    <row r="217" s="81" customFormat="1" hidden="1" customHeight="1" outlineLevel="1" spans="1:42">
      <c r="B217" s="103">
        <v>35.1</v>
      </c>
      <c r="C217" s="47"/>
      <c r="D217" s="47"/>
      <c r="E217" s="112"/>
      <c r="F217" s="112"/>
      <c r="G217" s="112"/>
      <c r="H217" s="112" t="s">
        <v>525</v>
      </c>
      <c r="I217" s="111" t="s">
        <v>58</v>
      </c>
      <c r="J217" s="111">
        <v>1</v>
      </c>
      <c r="K217" s="113">
        <v>0.0833333333333333</v>
      </c>
      <c r="L217" s="111"/>
      <c r="M217" s="111"/>
      <c r="N217" s="113">
        <v>0.0833333333333333</v>
      </c>
      <c r="O217" s="46"/>
      <c r="P217" s="5"/>
      <c r="R217" s="110"/>
    </row>
    <row r="218" s="81" customFormat="1" ht="48.75" hidden="1" customHeight="1" outlineLevel="1" spans="1:42">
      <c r="B218" s="103">
        <v>35.2</v>
      </c>
      <c r="C218" s="47"/>
      <c r="D218" s="47"/>
      <c r="E218" s="112"/>
      <c r="F218" s="112"/>
      <c r="G218" s="112"/>
      <c r="H218" s="114" t="s">
        <v>526</v>
      </c>
      <c r="I218" s="111" t="s">
        <v>58</v>
      </c>
      <c r="J218" s="111">
        <v>1</v>
      </c>
      <c r="K218" s="113">
        <v>0.0833333333333333</v>
      </c>
      <c r="L218" s="111"/>
      <c r="M218" s="111"/>
      <c r="N218" s="113">
        <v>0.0833333333333333</v>
      </c>
      <c r="O218" s="46"/>
      <c r="P218" s="5"/>
      <c r="R218" s="110"/>
    </row>
    <row r="219" s="81" customFormat="1" ht="36.75" hidden="1" customHeight="1" outlineLevel="1" spans="1:42">
      <c r="B219" s="103">
        <v>35.3</v>
      </c>
      <c r="C219" s="47"/>
      <c r="D219" s="47"/>
      <c r="E219" s="112"/>
      <c r="F219" s="112"/>
      <c r="G219" s="112"/>
      <c r="H219" s="114" t="s">
        <v>527</v>
      </c>
      <c r="I219" s="111" t="s">
        <v>421</v>
      </c>
      <c r="J219" s="111">
        <v>1</v>
      </c>
      <c r="K219" s="113">
        <v>0.5</v>
      </c>
      <c r="L219" s="111"/>
      <c r="M219" s="111"/>
      <c r="N219" s="113">
        <v>0.75</v>
      </c>
      <c r="O219" s="46"/>
      <c r="P219" s="5"/>
      <c r="R219" s="110"/>
    </row>
    <row r="220" s="81" customFormat="1" ht="36.75" hidden="1" customHeight="1" outlineLevel="1" spans="1:42">
      <c r="B220" s="103">
        <v>35.4</v>
      </c>
      <c r="C220" s="47"/>
      <c r="D220" s="47"/>
      <c r="E220" s="112"/>
      <c r="F220" s="112"/>
      <c r="G220" s="112"/>
      <c r="H220" s="114" t="s">
        <v>528</v>
      </c>
      <c r="I220" s="111" t="s">
        <v>58</v>
      </c>
      <c r="J220" s="111">
        <v>1</v>
      </c>
      <c r="K220" s="113">
        <v>0.0833333333333333</v>
      </c>
      <c r="L220" s="111"/>
      <c r="M220" s="111"/>
      <c r="N220" s="113">
        <v>0.0833333333333333</v>
      </c>
      <c r="O220" s="46"/>
      <c r="P220" s="5"/>
      <c r="R220" s="110"/>
    </row>
    <row r="221" s="81" customFormat="1" ht="60.75" hidden="1" customHeight="1" outlineLevel="1" spans="1:42">
      <c r="B221" s="103">
        <v>35.5</v>
      </c>
      <c r="C221" s="47"/>
      <c r="D221" s="47"/>
      <c r="E221" s="112"/>
      <c r="F221" s="112"/>
      <c r="G221" s="112"/>
      <c r="H221" s="114" t="s">
        <v>529</v>
      </c>
      <c r="I221" s="111" t="s">
        <v>421</v>
      </c>
      <c r="J221" s="111">
        <v>1</v>
      </c>
      <c r="K221" s="113">
        <v>0.25</v>
      </c>
      <c r="L221" s="111"/>
      <c r="M221" s="111"/>
      <c r="N221" s="113">
        <v>0.25</v>
      </c>
      <c r="O221" s="46"/>
      <c r="P221" s="5"/>
      <c r="R221" s="110"/>
    </row>
    <row r="222" s="81" customFormat="1" ht="72.75" hidden="1" customHeight="1" outlineLevel="1" spans="1:42">
      <c r="B222" s="103">
        <v>35.6</v>
      </c>
      <c r="C222" s="47"/>
      <c r="D222" s="47"/>
      <c r="E222" s="112"/>
      <c r="F222" s="112"/>
      <c r="G222" s="112"/>
      <c r="H222" s="114" t="s">
        <v>530</v>
      </c>
      <c r="I222" s="111" t="s">
        <v>58</v>
      </c>
      <c r="J222" s="111">
        <v>1</v>
      </c>
      <c r="K222" s="113">
        <v>1</v>
      </c>
      <c r="L222" s="111"/>
      <c r="M222" s="111"/>
      <c r="N222" s="113">
        <v>1.5</v>
      </c>
      <c r="O222" s="46"/>
      <c r="P222" s="5"/>
      <c r="R222" s="110"/>
    </row>
    <row r="223" s="81" customFormat="1" ht="120.75" hidden="1" customHeight="1" outlineLevel="1" spans="1:42">
      <c r="B223" s="103">
        <v>35.7</v>
      </c>
      <c r="C223" s="47"/>
      <c r="D223" s="47"/>
      <c r="E223" s="112"/>
      <c r="F223" s="112"/>
      <c r="G223" s="112"/>
      <c r="H223" s="114" t="s">
        <v>531</v>
      </c>
      <c r="I223" s="111" t="s">
        <v>421</v>
      </c>
      <c r="J223" s="111">
        <v>1</v>
      </c>
      <c r="K223" s="113">
        <v>1.08333333333333</v>
      </c>
      <c r="L223" s="111"/>
      <c r="M223" s="111"/>
      <c r="N223" s="113">
        <v>1.08333333333333</v>
      </c>
      <c r="O223" s="46"/>
      <c r="P223" s="5"/>
      <c r="R223" s="110"/>
    </row>
    <row r="224" s="81" customFormat="1" ht="48.75" hidden="1" customHeight="1" outlineLevel="1" spans="1:42">
      <c r="B224" s="103">
        <v>35.8</v>
      </c>
      <c r="C224" s="47"/>
      <c r="D224" s="47"/>
      <c r="E224" s="112"/>
      <c r="F224" s="112"/>
      <c r="G224" s="112"/>
      <c r="H224" s="114" t="s">
        <v>532</v>
      </c>
      <c r="I224" s="111" t="s">
        <v>421</v>
      </c>
      <c r="J224" s="111">
        <v>1</v>
      </c>
      <c r="K224" s="113">
        <v>0.25</v>
      </c>
      <c r="L224" s="111"/>
      <c r="M224" s="111"/>
      <c r="N224" s="113">
        <v>0.25</v>
      </c>
      <c r="O224" s="46"/>
      <c r="P224" s="5"/>
      <c r="R224" s="110"/>
    </row>
    <row r="225" s="81" customFormat="1" ht="18" customHeight="1" collapsed="1" spans="1:42">
      <c r="B225" s="46">
        <v>36</v>
      </c>
      <c r="C225" s="100" t="s">
        <v>53</v>
      </c>
      <c r="D225" s="100" t="s">
        <v>53</v>
      </c>
      <c r="E225" s="100" t="s">
        <v>403</v>
      </c>
      <c r="F225" s="100" t="s">
        <v>410</v>
      </c>
      <c r="G225" s="100" t="s">
        <v>533</v>
      </c>
      <c r="H225" s="100" t="s">
        <v>534</v>
      </c>
      <c r="I225" s="99" t="s">
        <v>409</v>
      </c>
      <c r="J225" s="99">
        <v>1</v>
      </c>
      <c r="K225" s="101">
        <f>SUMIF(I226:I232,"站",K226:K232)</f>
        <v>76.25</v>
      </c>
      <c r="L225" s="99" t="s">
        <v>46</v>
      </c>
      <c r="M225" s="99" t="s">
        <v>46</v>
      </c>
      <c r="N225" s="101">
        <f>SUMIF(I226:I232,"站",N226:N232)</f>
        <v>76.25</v>
      </c>
      <c r="O225" s="99" t="s">
        <v>46</v>
      </c>
      <c r="P225" s="102"/>
      <c r="R225" s="110"/>
    </row>
    <row r="226" s="81" customFormat="1" ht="24.75" hidden="1" customHeight="1" outlineLevel="1" spans="1:42">
      <c r="B226" s="106" t="s">
        <v>535</v>
      </c>
      <c r="C226" s="111"/>
      <c r="D226" s="112"/>
      <c r="E226" s="112"/>
      <c r="F226" s="112"/>
      <c r="G226" s="112" t="s">
        <v>536</v>
      </c>
      <c r="H226" s="114" t="s">
        <v>537</v>
      </c>
      <c r="I226" s="111" t="s">
        <v>409</v>
      </c>
      <c r="J226" s="111">
        <v>1</v>
      </c>
      <c r="K226" s="113">
        <v>0.25</v>
      </c>
      <c r="L226" s="111"/>
      <c r="M226" s="111"/>
      <c r="N226" s="113">
        <v>0.25</v>
      </c>
      <c r="O226" s="111"/>
      <c r="P226" s="111"/>
    </row>
    <row r="227" s="81" customFormat="1" ht="156.75" hidden="1" customHeight="1" outlineLevel="1" spans="1:42">
      <c r="B227" s="106" t="s">
        <v>538</v>
      </c>
      <c r="C227" s="111"/>
      <c r="D227" s="112"/>
      <c r="E227" s="112"/>
      <c r="F227" s="112"/>
      <c r="G227" s="112" t="s">
        <v>539</v>
      </c>
      <c r="H227" s="114" t="s">
        <v>540</v>
      </c>
      <c r="I227" s="111" t="s">
        <v>409</v>
      </c>
      <c r="J227" s="111">
        <v>1</v>
      </c>
      <c r="K227" s="113">
        <v>1.5</v>
      </c>
      <c r="L227" s="111"/>
      <c r="M227" s="111"/>
      <c r="N227" s="113">
        <v>1.5</v>
      </c>
      <c r="O227" s="111"/>
      <c r="P227" s="111"/>
    </row>
    <row r="228" s="81" customFormat="1" ht="72.75" hidden="1" customHeight="1" outlineLevel="1" spans="1:42">
      <c r="B228" s="106" t="s">
        <v>541</v>
      </c>
      <c r="C228" s="111"/>
      <c r="D228" s="112"/>
      <c r="E228" s="112"/>
      <c r="F228" s="112"/>
      <c r="G228" s="112" t="s">
        <v>542</v>
      </c>
      <c r="H228" s="114" t="s">
        <v>543</v>
      </c>
      <c r="I228" s="111" t="s">
        <v>409</v>
      </c>
      <c r="J228" s="111">
        <v>1</v>
      </c>
      <c r="K228" s="113">
        <v>1</v>
      </c>
      <c r="L228" s="111"/>
      <c r="M228" s="111"/>
      <c r="N228" s="113">
        <v>1</v>
      </c>
      <c r="O228" s="111"/>
      <c r="P228" s="111"/>
    </row>
    <row r="229" s="81" customFormat="1" ht="115.5" hidden="1" customHeight="1" outlineLevel="1" spans="1:42">
      <c r="B229" s="106" t="s">
        <v>544</v>
      </c>
      <c r="C229" s="111"/>
      <c r="D229" s="112"/>
      <c r="E229" s="112"/>
      <c r="F229" s="112"/>
      <c r="G229" s="112" t="s">
        <v>545</v>
      </c>
      <c r="H229" s="114" t="s">
        <v>546</v>
      </c>
      <c r="I229" s="111" t="s">
        <v>409</v>
      </c>
      <c r="J229" s="111">
        <v>1</v>
      </c>
      <c r="K229" s="113">
        <v>1</v>
      </c>
      <c r="L229" s="111"/>
      <c r="M229" s="111"/>
      <c r="N229" s="113">
        <v>1</v>
      </c>
      <c r="O229" s="111"/>
      <c r="P229" s="111"/>
    </row>
    <row r="230" s="81" customFormat="1" ht="48.75" hidden="1" customHeight="1" outlineLevel="1" spans="1:42">
      <c r="B230" s="106" t="s">
        <v>547</v>
      </c>
      <c r="C230" s="111"/>
      <c r="D230" s="112"/>
      <c r="E230" s="112"/>
      <c r="F230" s="112"/>
      <c r="G230" s="112" t="s">
        <v>548</v>
      </c>
      <c r="H230" s="114" t="s">
        <v>549</v>
      </c>
      <c r="I230" s="111" t="s">
        <v>409</v>
      </c>
      <c r="J230" s="111">
        <v>1</v>
      </c>
      <c r="K230" s="113">
        <v>0.166666666666667</v>
      </c>
      <c r="L230" s="111"/>
      <c r="M230" s="111"/>
      <c r="N230" s="113">
        <v>0.166666666666667</v>
      </c>
      <c r="O230" s="111"/>
      <c r="P230" s="111"/>
    </row>
    <row r="231" ht="36.75" hidden="1" customHeight="1" outlineLevel="1" spans="1:42">
      <c r="A231" s="81"/>
      <c r="B231" s="106" t="s">
        <v>550</v>
      </c>
      <c r="C231" s="111"/>
      <c r="D231" s="112"/>
      <c r="E231" s="112"/>
      <c r="F231" s="112"/>
      <c r="G231" s="112" t="s">
        <v>551</v>
      </c>
      <c r="H231" s="114" t="s">
        <v>552</v>
      </c>
      <c r="I231" s="111" t="s">
        <v>409</v>
      </c>
      <c r="J231" s="111">
        <v>1</v>
      </c>
      <c r="K231" s="113">
        <v>0.333333333333333</v>
      </c>
      <c r="L231" s="111"/>
      <c r="M231" s="111"/>
      <c r="N231" s="113">
        <v>0.333333333333333</v>
      </c>
      <c r="O231" s="111"/>
      <c r="P231" s="11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row>
    <row r="232" ht="48.75" hidden="1" customHeight="1" outlineLevel="1" spans="1:42">
      <c r="A232" s="81"/>
      <c r="B232" s="106" t="s">
        <v>553</v>
      </c>
      <c r="C232" s="111"/>
      <c r="D232" s="112"/>
      <c r="E232" s="112"/>
      <c r="F232" s="112"/>
      <c r="G232" s="112" t="s">
        <v>554</v>
      </c>
      <c r="H232" s="114" t="s">
        <v>555</v>
      </c>
      <c r="I232" s="111" t="s">
        <v>409</v>
      </c>
      <c r="J232" s="111">
        <v>1</v>
      </c>
      <c r="K232" s="113">
        <v>72</v>
      </c>
      <c r="L232" s="111"/>
      <c r="M232" s="111"/>
      <c r="N232" s="113">
        <v>72</v>
      </c>
      <c r="O232" s="111"/>
      <c r="P232" s="11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row>
    <row r="233" ht="18" customHeight="1" collapsed="1" spans="1:42">
      <c r="B233" s="46">
        <v>37</v>
      </c>
      <c r="C233" s="100" t="s">
        <v>39</v>
      </c>
      <c r="D233" s="100" t="s">
        <v>39</v>
      </c>
      <c r="E233" s="100" t="s">
        <v>403</v>
      </c>
      <c r="F233" s="100" t="s">
        <v>410</v>
      </c>
      <c r="G233" s="100" t="s">
        <v>556</v>
      </c>
      <c r="H233" s="100" t="s">
        <v>557</v>
      </c>
      <c r="I233" s="99" t="s">
        <v>58</v>
      </c>
      <c r="J233" s="99">
        <v>1</v>
      </c>
      <c r="K233" s="101">
        <f>SUM(K234:K249)</f>
        <v>11.1</v>
      </c>
      <c r="L233" s="99" t="s">
        <v>46</v>
      </c>
      <c r="M233" s="99" t="s">
        <v>46</v>
      </c>
      <c r="N233" s="101">
        <f>SUM(N234:N249)</f>
        <v>11.1</v>
      </c>
      <c r="O233" s="99" t="s">
        <v>46</v>
      </c>
      <c r="P233" s="102" t="s">
        <v>558</v>
      </c>
    </row>
    <row r="234" ht="54.75" hidden="1" customHeight="1" outlineLevel="1" spans="1:42">
      <c r="B234" s="106" t="s">
        <v>559</v>
      </c>
      <c r="C234" s="47"/>
      <c r="D234" s="47"/>
      <c r="E234" s="47"/>
      <c r="F234" s="47"/>
      <c r="G234" s="47" t="s">
        <v>560</v>
      </c>
      <c r="H234" s="61" t="s">
        <v>561</v>
      </c>
      <c r="I234" s="46" t="s">
        <v>562</v>
      </c>
      <c r="J234" s="46">
        <v>1</v>
      </c>
      <c r="K234" s="98">
        <v>0.333333333333334</v>
      </c>
      <c r="L234" s="46"/>
      <c r="M234" s="46"/>
      <c r="N234" s="98">
        <v>0.333333333333334</v>
      </c>
      <c r="O234" s="46"/>
      <c r="P234" s="5"/>
    </row>
    <row r="235" ht="122.25" hidden="1" customHeight="1" outlineLevel="1" spans="1:42">
      <c r="B235" s="106" t="s">
        <v>563</v>
      </c>
      <c r="C235" s="47"/>
      <c r="D235" s="47"/>
      <c r="E235" s="47"/>
      <c r="F235" s="47"/>
      <c r="G235" s="47" t="s">
        <v>564</v>
      </c>
      <c r="H235" s="61" t="s">
        <v>565</v>
      </c>
      <c r="I235" s="46" t="s">
        <v>562</v>
      </c>
      <c r="J235" s="46">
        <v>1</v>
      </c>
      <c r="K235" s="98">
        <v>0.166666666666667</v>
      </c>
      <c r="L235" s="46"/>
      <c r="M235" s="46"/>
      <c r="N235" s="98">
        <v>0.166666666666667</v>
      </c>
      <c r="O235" s="46"/>
      <c r="P235" s="5"/>
    </row>
    <row r="236" ht="176.25" hidden="1" customHeight="1" outlineLevel="1" spans="1:42">
      <c r="B236" s="106" t="s">
        <v>566</v>
      </c>
      <c r="C236" s="47"/>
      <c r="D236" s="47"/>
      <c r="E236" s="47"/>
      <c r="F236" s="47"/>
      <c r="G236" s="47" t="s">
        <v>567</v>
      </c>
      <c r="H236" s="61" t="s">
        <v>568</v>
      </c>
      <c r="I236" s="46" t="s">
        <v>562</v>
      </c>
      <c r="J236" s="46">
        <v>1</v>
      </c>
      <c r="K236" s="98">
        <v>0.666666666666668</v>
      </c>
      <c r="L236" s="46"/>
      <c r="M236" s="46"/>
      <c r="N236" s="98">
        <v>0.666666666666668</v>
      </c>
      <c r="O236" s="46"/>
      <c r="P236" s="5"/>
    </row>
    <row r="237" ht="54.75" hidden="1" customHeight="1" outlineLevel="1" spans="1:42">
      <c r="B237" s="106" t="s">
        <v>569</v>
      </c>
      <c r="C237" s="47"/>
      <c r="D237" s="47"/>
      <c r="E237" s="47"/>
      <c r="F237" s="47"/>
      <c r="G237" s="47" t="s">
        <v>570</v>
      </c>
      <c r="H237" s="61" t="s">
        <v>571</v>
      </c>
      <c r="I237" s="46" t="s">
        <v>562</v>
      </c>
      <c r="J237" s="46">
        <v>1</v>
      </c>
      <c r="K237" s="98">
        <v>0.5</v>
      </c>
      <c r="L237" s="46"/>
      <c r="M237" s="46"/>
      <c r="N237" s="98">
        <v>0.5</v>
      </c>
      <c r="O237" s="46"/>
      <c r="P237" s="5"/>
    </row>
    <row r="238" ht="27.75" hidden="1" customHeight="1" outlineLevel="1" spans="1:42">
      <c r="B238" s="106" t="s">
        <v>572</v>
      </c>
      <c r="C238" s="47"/>
      <c r="D238" s="47"/>
      <c r="E238" s="47"/>
      <c r="F238" s="47"/>
      <c r="G238" s="47" t="s">
        <v>573</v>
      </c>
      <c r="H238" s="61" t="s">
        <v>574</v>
      </c>
      <c r="I238" s="46" t="s">
        <v>562</v>
      </c>
      <c r="J238" s="46">
        <v>1</v>
      </c>
      <c r="K238" s="98">
        <v>0.333333333333333</v>
      </c>
      <c r="L238" s="46"/>
      <c r="M238" s="46"/>
      <c r="N238" s="98">
        <v>0.333333333333333</v>
      </c>
      <c r="O238" s="46"/>
      <c r="P238" s="5"/>
    </row>
    <row r="239" ht="41.25" hidden="1" customHeight="1" outlineLevel="1" spans="1:42">
      <c r="B239" s="106" t="s">
        <v>575</v>
      </c>
      <c r="C239" s="47"/>
      <c r="D239" s="47"/>
      <c r="E239" s="47"/>
      <c r="F239" s="47"/>
      <c r="G239" s="47" t="s">
        <v>576</v>
      </c>
      <c r="H239" s="61" t="s">
        <v>577</v>
      </c>
      <c r="I239" s="46" t="s">
        <v>562</v>
      </c>
      <c r="J239" s="46">
        <v>1</v>
      </c>
      <c r="K239" s="98">
        <v>2</v>
      </c>
      <c r="L239" s="46"/>
      <c r="M239" s="46"/>
      <c r="N239" s="98">
        <v>2</v>
      </c>
      <c r="O239" s="46"/>
      <c r="P239" s="5"/>
    </row>
    <row r="240" hidden="1" customHeight="1" outlineLevel="1" spans="1:42">
      <c r="B240" s="106" t="s">
        <v>578</v>
      </c>
      <c r="C240" s="47"/>
      <c r="D240" s="47"/>
      <c r="E240" s="47"/>
      <c r="F240" s="47"/>
      <c r="G240" s="47" t="s">
        <v>579</v>
      </c>
      <c r="H240" s="47" t="s">
        <v>580</v>
      </c>
      <c r="I240" s="46" t="s">
        <v>562</v>
      </c>
      <c r="J240" s="46">
        <v>1</v>
      </c>
      <c r="K240" s="98">
        <v>0.5</v>
      </c>
      <c r="L240" s="46"/>
      <c r="M240" s="46"/>
      <c r="N240" s="98">
        <v>0.5</v>
      </c>
      <c r="O240" s="46"/>
      <c r="P240" s="5"/>
    </row>
    <row r="241" ht="27.75" hidden="1" customHeight="1" outlineLevel="1" spans="2:16">
      <c r="B241" s="106" t="s">
        <v>581</v>
      </c>
      <c r="C241" s="47"/>
      <c r="D241" s="47"/>
      <c r="E241" s="47"/>
      <c r="F241" s="47"/>
      <c r="G241" s="47" t="s">
        <v>582</v>
      </c>
      <c r="H241" s="61" t="s">
        <v>583</v>
      </c>
      <c r="I241" s="46" t="s">
        <v>562</v>
      </c>
      <c r="J241" s="46">
        <v>1</v>
      </c>
      <c r="K241" s="98">
        <v>2</v>
      </c>
      <c r="L241" s="46"/>
      <c r="M241" s="46"/>
      <c r="N241" s="98">
        <v>2</v>
      </c>
      <c r="O241" s="46"/>
      <c r="P241" s="5"/>
    </row>
    <row r="242" ht="27.75" hidden="1" customHeight="1" outlineLevel="1" spans="2:16">
      <c r="B242" s="106" t="s">
        <v>584</v>
      </c>
      <c r="C242" s="47"/>
      <c r="D242" s="47"/>
      <c r="E242" s="47"/>
      <c r="F242" s="47"/>
      <c r="G242" s="47" t="s">
        <v>585</v>
      </c>
      <c r="H242" s="61" t="s">
        <v>586</v>
      </c>
      <c r="I242" s="46" t="s">
        <v>562</v>
      </c>
      <c r="J242" s="46">
        <v>1</v>
      </c>
      <c r="K242" s="98">
        <v>1</v>
      </c>
      <c r="L242" s="46"/>
      <c r="M242" s="46"/>
      <c r="N242" s="98">
        <v>1</v>
      </c>
      <c r="O242" s="46"/>
      <c r="P242" s="5"/>
    </row>
    <row r="243" ht="68.25" hidden="1" customHeight="1" outlineLevel="1" spans="2:16">
      <c r="B243" s="106" t="s">
        <v>587</v>
      </c>
      <c r="C243" s="47"/>
      <c r="D243" s="47"/>
      <c r="E243" s="47"/>
      <c r="F243" s="47"/>
      <c r="G243" s="47" t="s">
        <v>588</v>
      </c>
      <c r="H243" s="61" t="s">
        <v>589</v>
      </c>
      <c r="I243" s="46" t="s">
        <v>562</v>
      </c>
      <c r="J243" s="46">
        <v>1</v>
      </c>
      <c r="K243" s="98">
        <v>1</v>
      </c>
      <c r="L243" s="46"/>
      <c r="M243" s="46"/>
      <c r="N243" s="98">
        <v>1</v>
      </c>
      <c r="O243" s="46"/>
      <c r="P243" s="5"/>
    </row>
    <row r="244" ht="68.25" hidden="1" customHeight="1" outlineLevel="1" spans="2:16">
      <c r="B244" s="106" t="s">
        <v>590</v>
      </c>
      <c r="C244" s="47"/>
      <c r="D244" s="47"/>
      <c r="E244" s="47"/>
      <c r="F244" s="47"/>
      <c r="G244" s="47" t="s">
        <v>591</v>
      </c>
      <c r="H244" s="61" t="s">
        <v>592</v>
      </c>
      <c r="I244" s="46" t="s">
        <v>562</v>
      </c>
      <c r="J244" s="46">
        <v>1</v>
      </c>
      <c r="K244" s="98">
        <v>0.1</v>
      </c>
      <c r="L244" s="46"/>
      <c r="M244" s="46"/>
      <c r="N244" s="98">
        <v>0.1</v>
      </c>
      <c r="O244" s="46"/>
      <c r="P244" s="5"/>
    </row>
    <row r="245" ht="108.75" hidden="1" customHeight="1" outlineLevel="1" spans="2:16">
      <c r="B245" s="106" t="s">
        <v>593</v>
      </c>
      <c r="C245" s="47"/>
      <c r="D245" s="47"/>
      <c r="E245" s="47"/>
      <c r="F245" s="47"/>
      <c r="G245" s="47" t="s">
        <v>594</v>
      </c>
      <c r="H245" s="61" t="s">
        <v>595</v>
      </c>
      <c r="I245" s="46" t="s">
        <v>562</v>
      </c>
      <c r="J245" s="46">
        <v>1</v>
      </c>
      <c r="K245" s="98">
        <v>0.25</v>
      </c>
      <c r="L245" s="46"/>
      <c r="M245" s="46"/>
      <c r="N245" s="98">
        <v>0.25</v>
      </c>
      <c r="O245" s="46"/>
      <c r="P245" s="5"/>
    </row>
    <row r="246" ht="54.75" hidden="1" customHeight="1" outlineLevel="1" spans="2:16">
      <c r="B246" s="106" t="s">
        <v>596</v>
      </c>
      <c r="C246" s="47"/>
      <c r="D246" s="47"/>
      <c r="E246" s="47"/>
      <c r="F246" s="47"/>
      <c r="G246" s="47" t="s">
        <v>597</v>
      </c>
      <c r="H246" s="61" t="s">
        <v>598</v>
      </c>
      <c r="I246" s="46" t="s">
        <v>562</v>
      </c>
      <c r="J246" s="46">
        <v>1</v>
      </c>
      <c r="K246" s="98">
        <v>0.166666666666667</v>
      </c>
      <c r="L246" s="46"/>
      <c r="M246" s="46"/>
      <c r="N246" s="98">
        <v>0.166666666666667</v>
      </c>
      <c r="O246" s="46"/>
      <c r="P246" s="5"/>
    </row>
    <row r="247" ht="41.25" hidden="1" customHeight="1" outlineLevel="1" spans="2:16">
      <c r="B247" s="106" t="s">
        <v>599</v>
      </c>
      <c r="C247" s="47"/>
      <c r="D247" s="47"/>
      <c r="E247" s="47"/>
      <c r="F247" s="47"/>
      <c r="G247" s="47" t="s">
        <v>600</v>
      </c>
      <c r="H247" s="61" t="s">
        <v>601</v>
      </c>
      <c r="I247" s="46" t="s">
        <v>562</v>
      </c>
      <c r="J247" s="46">
        <v>1</v>
      </c>
      <c r="K247" s="98">
        <v>0.25</v>
      </c>
      <c r="L247" s="46"/>
      <c r="M247" s="46"/>
      <c r="N247" s="98">
        <v>0.25</v>
      </c>
      <c r="O247" s="46"/>
      <c r="P247" s="5"/>
    </row>
    <row r="248" ht="27.75" hidden="1" customHeight="1" outlineLevel="1" spans="2:16">
      <c r="B248" s="106" t="s">
        <v>602</v>
      </c>
      <c r="C248" s="47"/>
      <c r="D248" s="47"/>
      <c r="E248" s="47"/>
      <c r="F248" s="47"/>
      <c r="G248" s="47" t="s">
        <v>603</v>
      </c>
      <c r="H248" s="61" t="s">
        <v>604</v>
      </c>
      <c r="I248" s="46" t="s">
        <v>562</v>
      </c>
      <c r="J248" s="46">
        <v>1</v>
      </c>
      <c r="K248" s="98">
        <v>0.5</v>
      </c>
      <c r="L248" s="46"/>
      <c r="M248" s="46"/>
      <c r="N248" s="98">
        <v>0.5</v>
      </c>
      <c r="O248" s="46"/>
      <c r="P248" s="5"/>
    </row>
    <row r="249" ht="162.75" hidden="1" customHeight="1" outlineLevel="1" spans="2:16">
      <c r="B249" s="106" t="s">
        <v>605</v>
      </c>
      <c r="C249" s="47"/>
      <c r="D249" s="47"/>
      <c r="E249" s="47"/>
      <c r="F249" s="47"/>
      <c r="G249" s="47" t="s">
        <v>606</v>
      </c>
      <c r="H249" s="61" t="s">
        <v>607</v>
      </c>
      <c r="I249" s="46" t="s">
        <v>562</v>
      </c>
      <c r="J249" s="46">
        <v>1</v>
      </c>
      <c r="K249" s="98">
        <v>1.33333333333333</v>
      </c>
      <c r="L249" s="46"/>
      <c r="M249" s="46"/>
      <c r="N249" s="98">
        <v>1.33333333333333</v>
      </c>
      <c r="O249" s="46"/>
      <c r="P249" s="5"/>
    </row>
    <row r="250" ht="18" customHeight="1" collapsed="1" spans="2:16">
      <c r="B250" s="46">
        <v>38</v>
      </c>
      <c r="C250" s="100" t="s">
        <v>39</v>
      </c>
      <c r="D250" s="100" t="s">
        <v>39</v>
      </c>
      <c r="E250" s="100" t="s">
        <v>403</v>
      </c>
      <c r="F250" s="100" t="s">
        <v>410</v>
      </c>
      <c r="G250" s="100" t="s">
        <v>556</v>
      </c>
      <c r="H250" s="100" t="s">
        <v>608</v>
      </c>
      <c r="I250" s="99" t="s">
        <v>58</v>
      </c>
      <c r="J250" s="99">
        <v>1</v>
      </c>
      <c r="K250" s="101">
        <f>SUM(K251:K254)</f>
        <v>4.37</v>
      </c>
      <c r="L250" s="99" t="s">
        <v>46</v>
      </c>
      <c r="M250" s="99" t="s">
        <v>46</v>
      </c>
      <c r="N250" s="101">
        <f>SUM(N251:N254)</f>
        <v>5.07</v>
      </c>
      <c r="O250" s="99" t="s">
        <v>46</v>
      </c>
      <c r="P250" s="102" t="s">
        <v>558</v>
      </c>
    </row>
    <row r="251" hidden="1" customHeight="1" outlineLevel="1" spans="2:16">
      <c r="B251" s="103">
        <v>39.1</v>
      </c>
      <c r="C251" s="47"/>
      <c r="D251" s="47"/>
      <c r="E251" s="47"/>
      <c r="F251" s="47"/>
      <c r="G251" s="47" t="s">
        <v>106</v>
      </c>
      <c r="H251" s="47" t="s">
        <v>609</v>
      </c>
      <c r="I251" s="103" t="s">
        <v>562</v>
      </c>
      <c r="J251" s="103">
        <v>1</v>
      </c>
      <c r="K251" s="104">
        <v>0.12</v>
      </c>
      <c r="L251" s="103"/>
      <c r="M251" s="103"/>
      <c r="N251" s="104">
        <v>0.12</v>
      </c>
      <c r="O251" s="103"/>
      <c r="P251" s="5"/>
    </row>
    <row r="252" ht="54.75" hidden="1" customHeight="1" outlineLevel="1" spans="2:16">
      <c r="B252" s="103">
        <v>39.2</v>
      </c>
      <c r="C252" s="47"/>
      <c r="D252" s="47"/>
      <c r="E252" s="47"/>
      <c r="F252" s="47"/>
      <c r="G252" s="47" t="s">
        <v>610</v>
      </c>
      <c r="H252" s="61" t="s">
        <v>611</v>
      </c>
      <c r="I252" s="103" t="s">
        <v>562</v>
      </c>
      <c r="J252" s="103">
        <v>1</v>
      </c>
      <c r="K252" s="104">
        <v>3</v>
      </c>
      <c r="L252" s="103"/>
      <c r="M252" s="103"/>
      <c r="N252" s="104">
        <v>3</v>
      </c>
      <c r="O252" s="103"/>
      <c r="P252" s="5"/>
    </row>
    <row r="253" hidden="1" customHeight="1" outlineLevel="1" spans="2:16">
      <c r="B253" s="103">
        <v>39.3</v>
      </c>
      <c r="C253" s="47"/>
      <c r="D253" s="47"/>
      <c r="E253" s="47"/>
      <c r="F253" s="47"/>
      <c r="G253" s="47" t="s">
        <v>612</v>
      </c>
      <c r="H253" s="47" t="s">
        <v>613</v>
      </c>
      <c r="I253" s="103" t="s">
        <v>562</v>
      </c>
      <c r="J253" s="103">
        <v>1</v>
      </c>
      <c r="K253" s="104">
        <v>1</v>
      </c>
      <c r="L253" s="103"/>
      <c r="M253" s="103"/>
      <c r="N253" s="104">
        <v>1.5</v>
      </c>
      <c r="O253" s="103"/>
      <c r="P253" s="5"/>
    </row>
    <row r="254" hidden="1" customHeight="1" outlineLevel="1" spans="2:16">
      <c r="B254" s="103">
        <v>39.4</v>
      </c>
      <c r="C254" s="47"/>
      <c r="D254" s="47"/>
      <c r="E254" s="47"/>
      <c r="F254" s="47"/>
      <c r="G254" s="47" t="s">
        <v>614</v>
      </c>
      <c r="H254" s="47" t="s">
        <v>615</v>
      </c>
      <c r="I254" s="103" t="s">
        <v>562</v>
      </c>
      <c r="J254" s="103">
        <v>1</v>
      </c>
      <c r="K254" s="104">
        <v>0.25</v>
      </c>
      <c r="L254" s="103"/>
      <c r="M254" s="103"/>
      <c r="N254" s="104">
        <v>0.45</v>
      </c>
      <c r="O254" s="103"/>
      <c r="P254" s="5"/>
    </row>
    <row r="255" ht="18" customHeight="1" collapsed="1" spans="2:16">
      <c r="B255" s="46">
        <v>39</v>
      </c>
      <c r="C255" s="100" t="s">
        <v>39</v>
      </c>
      <c r="D255" s="100" t="s">
        <v>39</v>
      </c>
      <c r="E255" s="100" t="s">
        <v>403</v>
      </c>
      <c r="F255" s="100" t="s">
        <v>410</v>
      </c>
      <c r="G255" s="100" t="s">
        <v>556</v>
      </c>
      <c r="H255" s="100" t="s">
        <v>616</v>
      </c>
      <c r="I255" s="99" t="s">
        <v>58</v>
      </c>
      <c r="J255" s="99">
        <v>1</v>
      </c>
      <c r="K255" s="101">
        <f>SUM(K256:K270)</f>
        <v>18.5833333333333</v>
      </c>
      <c r="L255" s="99" t="s">
        <v>46</v>
      </c>
      <c r="M255" s="99" t="s">
        <v>46</v>
      </c>
      <c r="N255" s="101">
        <f>SUM(N256:N270)</f>
        <v>20.65</v>
      </c>
      <c r="O255" s="99" t="s">
        <v>46</v>
      </c>
      <c r="P255" s="102" t="s">
        <v>558</v>
      </c>
    </row>
    <row r="256" ht="27.75" hidden="1" customHeight="1" outlineLevel="1" spans="2:16">
      <c r="B256" s="106" t="s">
        <v>617</v>
      </c>
      <c r="C256" s="47"/>
      <c r="D256" s="47"/>
      <c r="E256" s="47"/>
      <c r="F256" s="47"/>
      <c r="G256" s="47" t="s">
        <v>585</v>
      </c>
      <c r="H256" s="61" t="s">
        <v>618</v>
      </c>
      <c r="I256" s="103" t="s">
        <v>58</v>
      </c>
      <c r="J256" s="103">
        <v>1</v>
      </c>
      <c r="K256" s="104">
        <v>1</v>
      </c>
      <c r="L256" s="103"/>
      <c r="M256" s="103"/>
      <c r="N256" s="104">
        <v>1</v>
      </c>
      <c r="O256" s="103"/>
      <c r="P256" s="5"/>
    </row>
    <row r="257" ht="41.25" hidden="1" customHeight="1" outlineLevel="1" spans="2:16">
      <c r="B257" s="106" t="s">
        <v>619</v>
      </c>
      <c r="C257" s="47"/>
      <c r="D257" s="47"/>
      <c r="E257" s="47"/>
      <c r="F257" s="47"/>
      <c r="G257" s="47" t="s">
        <v>620</v>
      </c>
      <c r="H257" s="61" t="s">
        <v>621</v>
      </c>
      <c r="I257" s="103" t="s">
        <v>58</v>
      </c>
      <c r="J257" s="103">
        <v>1</v>
      </c>
      <c r="K257" s="104">
        <v>0.25</v>
      </c>
      <c r="L257" s="103"/>
      <c r="M257" s="103"/>
      <c r="N257" s="104">
        <v>0.5</v>
      </c>
      <c r="O257" s="103"/>
      <c r="P257" s="5"/>
    </row>
    <row r="258" ht="81.75" hidden="1" customHeight="1" outlineLevel="1" spans="2:16">
      <c r="B258" s="106" t="s">
        <v>622</v>
      </c>
      <c r="C258" s="47"/>
      <c r="D258" s="47"/>
      <c r="E258" s="47"/>
      <c r="F258" s="47"/>
      <c r="G258" s="47" t="s">
        <v>623</v>
      </c>
      <c r="H258" s="61" t="s">
        <v>624</v>
      </c>
      <c r="I258" s="103" t="s">
        <v>58</v>
      </c>
      <c r="J258" s="103">
        <v>1</v>
      </c>
      <c r="K258" s="104">
        <v>3</v>
      </c>
      <c r="L258" s="103"/>
      <c r="M258" s="103"/>
      <c r="N258" s="104">
        <v>3</v>
      </c>
      <c r="O258" s="103"/>
      <c r="P258" s="5"/>
    </row>
    <row r="259" ht="68.25" hidden="1" customHeight="1" outlineLevel="1" spans="2:16">
      <c r="B259" s="106" t="s">
        <v>625</v>
      </c>
      <c r="C259" s="47"/>
      <c r="D259" s="47"/>
      <c r="E259" s="47"/>
      <c r="F259" s="47"/>
      <c r="G259" s="47" t="s">
        <v>626</v>
      </c>
      <c r="H259" s="61" t="s">
        <v>627</v>
      </c>
      <c r="I259" s="103" t="s">
        <v>58</v>
      </c>
      <c r="J259" s="103">
        <v>1</v>
      </c>
      <c r="K259" s="104">
        <v>2</v>
      </c>
      <c r="L259" s="103"/>
      <c r="M259" s="103"/>
      <c r="N259" s="104">
        <v>2</v>
      </c>
      <c r="O259" s="103"/>
      <c r="P259" s="5"/>
    </row>
    <row r="260" ht="54.75" hidden="1" customHeight="1" outlineLevel="1" spans="2:16">
      <c r="B260" s="106" t="s">
        <v>628</v>
      </c>
      <c r="C260" s="47"/>
      <c r="D260" s="47"/>
      <c r="E260" s="47"/>
      <c r="F260" s="47"/>
      <c r="G260" s="47" t="s">
        <v>629</v>
      </c>
      <c r="H260" s="61" t="s">
        <v>630</v>
      </c>
      <c r="I260" s="103" t="s">
        <v>58</v>
      </c>
      <c r="J260" s="103">
        <v>1</v>
      </c>
      <c r="K260" s="104">
        <v>1</v>
      </c>
      <c r="L260" s="103"/>
      <c r="M260" s="103"/>
      <c r="N260" s="104">
        <v>1</v>
      </c>
      <c r="O260" s="103"/>
      <c r="P260" s="5"/>
    </row>
    <row r="261" ht="27.75" hidden="1" customHeight="1" outlineLevel="1" spans="2:16">
      <c r="B261" s="106" t="s">
        <v>631</v>
      </c>
      <c r="C261" s="47"/>
      <c r="D261" s="47"/>
      <c r="E261" s="47"/>
      <c r="F261" s="47"/>
      <c r="G261" s="47" t="s">
        <v>632</v>
      </c>
      <c r="H261" s="61" t="s">
        <v>633</v>
      </c>
      <c r="I261" s="103" t="s">
        <v>58</v>
      </c>
      <c r="J261" s="103">
        <v>1</v>
      </c>
      <c r="K261" s="104">
        <v>0.25</v>
      </c>
      <c r="L261" s="103"/>
      <c r="M261" s="103"/>
      <c r="N261" s="104">
        <v>0.5</v>
      </c>
      <c r="O261" s="103"/>
      <c r="P261" s="5"/>
    </row>
    <row r="262" ht="122.25" hidden="1" customHeight="1" outlineLevel="1" spans="2:16">
      <c r="B262" s="106" t="s">
        <v>634</v>
      </c>
      <c r="C262" s="47"/>
      <c r="D262" s="47"/>
      <c r="E262" s="47"/>
      <c r="F262" s="47"/>
      <c r="G262" s="47" t="s">
        <v>635</v>
      </c>
      <c r="H262" s="61" t="s">
        <v>636</v>
      </c>
      <c r="I262" s="103" t="s">
        <v>58</v>
      </c>
      <c r="J262" s="103">
        <v>1</v>
      </c>
      <c r="K262" s="104">
        <v>3</v>
      </c>
      <c r="L262" s="103"/>
      <c r="M262" s="103"/>
      <c r="N262" s="104">
        <v>3.5</v>
      </c>
      <c r="O262" s="103"/>
      <c r="P262" s="5"/>
    </row>
    <row r="263" hidden="1" customHeight="1" outlineLevel="1" spans="2:16">
      <c r="B263" s="106" t="s">
        <v>637</v>
      </c>
      <c r="C263" s="47"/>
      <c r="D263" s="47"/>
      <c r="E263" s="47"/>
      <c r="F263" s="47"/>
      <c r="G263" s="47" t="s">
        <v>638</v>
      </c>
      <c r="H263" s="47" t="s">
        <v>639</v>
      </c>
      <c r="I263" s="103" t="s">
        <v>58</v>
      </c>
      <c r="J263" s="103">
        <v>1</v>
      </c>
      <c r="K263" s="104">
        <v>0.5</v>
      </c>
      <c r="L263" s="103"/>
      <c r="M263" s="103"/>
      <c r="N263" s="104">
        <v>0.75</v>
      </c>
      <c r="O263" s="103"/>
      <c r="P263" s="5"/>
    </row>
    <row r="264" ht="122.25" hidden="1" customHeight="1" outlineLevel="1" spans="2:16">
      <c r="B264" s="106" t="s">
        <v>640</v>
      </c>
      <c r="C264" s="47"/>
      <c r="D264" s="47"/>
      <c r="E264" s="47"/>
      <c r="F264" s="47"/>
      <c r="G264" s="47" t="s">
        <v>641</v>
      </c>
      <c r="H264" s="61" t="s">
        <v>642</v>
      </c>
      <c r="I264" s="103" t="s">
        <v>58</v>
      </c>
      <c r="J264" s="103">
        <v>1</v>
      </c>
      <c r="K264" s="104">
        <v>3</v>
      </c>
      <c r="L264" s="103"/>
      <c r="M264" s="103"/>
      <c r="N264" s="104">
        <v>3</v>
      </c>
      <c r="O264" s="103"/>
      <c r="P264" s="5"/>
    </row>
    <row r="265" hidden="1" customHeight="1" outlineLevel="1" spans="2:16">
      <c r="B265" s="106" t="s">
        <v>643</v>
      </c>
      <c r="C265" s="47"/>
      <c r="D265" s="47"/>
      <c r="E265" s="47"/>
      <c r="F265" s="47"/>
      <c r="G265" s="47" t="s">
        <v>644</v>
      </c>
      <c r="H265" s="47" t="s">
        <v>645</v>
      </c>
      <c r="I265" s="103" t="s">
        <v>58</v>
      </c>
      <c r="J265" s="103">
        <v>1</v>
      </c>
      <c r="K265" s="104">
        <v>0.666666666666667</v>
      </c>
      <c r="L265" s="103"/>
      <c r="M265" s="103"/>
      <c r="N265" s="104">
        <v>0.75</v>
      </c>
      <c r="O265" s="103"/>
      <c r="P265" s="5"/>
    </row>
    <row r="266" ht="68.25" hidden="1" customHeight="1" outlineLevel="1" spans="2:16">
      <c r="B266" s="106" t="s">
        <v>646</v>
      </c>
      <c r="C266" s="47"/>
      <c r="D266" s="47"/>
      <c r="E266" s="47"/>
      <c r="F266" s="47"/>
      <c r="G266" s="47" t="s">
        <v>647</v>
      </c>
      <c r="H266" s="61" t="s">
        <v>648</v>
      </c>
      <c r="I266" s="103" t="s">
        <v>58</v>
      </c>
      <c r="J266" s="103">
        <v>1</v>
      </c>
      <c r="K266" s="104">
        <v>2</v>
      </c>
      <c r="L266" s="103"/>
      <c r="M266" s="103"/>
      <c r="N266" s="104">
        <v>2.5</v>
      </c>
      <c r="O266" s="103"/>
      <c r="P266" s="5"/>
    </row>
    <row r="267" ht="41.25" hidden="1" customHeight="1" outlineLevel="1" spans="2:16">
      <c r="B267" s="106" t="s">
        <v>649</v>
      </c>
      <c r="C267" s="47"/>
      <c r="D267" s="47"/>
      <c r="E267" s="47"/>
      <c r="F267" s="47"/>
      <c r="G267" s="47" t="s">
        <v>620</v>
      </c>
      <c r="H267" s="61" t="s">
        <v>650</v>
      </c>
      <c r="I267" s="103" t="s">
        <v>58</v>
      </c>
      <c r="J267" s="103">
        <v>1</v>
      </c>
      <c r="K267" s="104">
        <v>0.25</v>
      </c>
      <c r="L267" s="103"/>
      <c r="M267" s="103"/>
      <c r="N267" s="104">
        <v>0.25</v>
      </c>
      <c r="O267" s="103"/>
      <c r="P267" s="5"/>
    </row>
    <row r="268" ht="27.75" hidden="1" customHeight="1" outlineLevel="1" spans="2:16">
      <c r="B268" s="106" t="s">
        <v>651</v>
      </c>
      <c r="C268" s="47"/>
      <c r="D268" s="47"/>
      <c r="E268" s="47"/>
      <c r="F268" s="47"/>
      <c r="G268" s="47" t="s">
        <v>623</v>
      </c>
      <c r="H268" s="61" t="s">
        <v>652</v>
      </c>
      <c r="I268" s="103" t="s">
        <v>58</v>
      </c>
      <c r="J268" s="103">
        <v>1</v>
      </c>
      <c r="K268" s="104">
        <v>1</v>
      </c>
      <c r="L268" s="103"/>
      <c r="M268" s="103"/>
      <c r="N268" s="104">
        <v>1</v>
      </c>
      <c r="O268" s="103"/>
      <c r="P268" s="5"/>
    </row>
    <row r="269" ht="68.25" hidden="1" customHeight="1" outlineLevel="1" spans="2:16">
      <c r="B269" s="106" t="s">
        <v>653</v>
      </c>
      <c r="C269" s="47"/>
      <c r="D269" s="47"/>
      <c r="E269" s="47"/>
      <c r="F269" s="47"/>
      <c r="G269" s="47" t="s">
        <v>647</v>
      </c>
      <c r="H269" s="61" t="s">
        <v>654</v>
      </c>
      <c r="I269" s="103" t="s">
        <v>58</v>
      </c>
      <c r="J269" s="103">
        <v>1</v>
      </c>
      <c r="K269" s="104">
        <v>0.333333333333334</v>
      </c>
      <c r="L269" s="103"/>
      <c r="M269" s="103"/>
      <c r="N269" s="104">
        <v>0.45</v>
      </c>
      <c r="O269" s="103"/>
      <c r="P269" s="5"/>
    </row>
    <row r="270" ht="68.25" hidden="1" customHeight="1" outlineLevel="1" spans="2:16">
      <c r="B270" s="106" t="s">
        <v>655</v>
      </c>
      <c r="C270" s="47"/>
      <c r="D270" s="47"/>
      <c r="E270" s="47"/>
      <c r="F270" s="47"/>
      <c r="G270" s="47" t="s">
        <v>626</v>
      </c>
      <c r="H270" s="61" t="s">
        <v>656</v>
      </c>
      <c r="I270" s="103" t="s">
        <v>58</v>
      </c>
      <c r="J270" s="103">
        <v>1</v>
      </c>
      <c r="K270" s="104">
        <v>0.333333333333333</v>
      </c>
      <c r="L270" s="103"/>
      <c r="M270" s="103"/>
      <c r="N270" s="104">
        <v>0.45</v>
      </c>
      <c r="O270" s="103"/>
      <c r="P270" s="5"/>
    </row>
    <row r="271" hidden="1" customHeight="1" outlineLevel="1" spans="2:16">
      <c r="B271" s="106" t="s">
        <v>657</v>
      </c>
      <c r="C271" s="47"/>
      <c r="D271" s="47"/>
      <c r="E271" s="47"/>
      <c r="F271" s="47"/>
      <c r="G271" s="47" t="s">
        <v>658</v>
      </c>
      <c r="H271" s="47" t="s">
        <v>659</v>
      </c>
      <c r="I271" s="103" t="s">
        <v>58</v>
      </c>
      <c r="J271" s="103">
        <v>1</v>
      </c>
      <c r="K271" s="104">
        <v>0.5</v>
      </c>
      <c r="L271" s="103"/>
      <c r="M271" s="103"/>
      <c r="N271" s="104">
        <v>0.5</v>
      </c>
      <c r="O271" s="103"/>
      <c r="P271" s="5"/>
    </row>
    <row r="272" ht="18" customHeight="1" collapsed="1" spans="2:16">
      <c r="B272" s="46">
        <v>40</v>
      </c>
      <c r="C272" s="100" t="s">
        <v>53</v>
      </c>
      <c r="D272" s="100" t="s">
        <v>53</v>
      </c>
      <c r="E272" s="100" t="s">
        <v>403</v>
      </c>
      <c r="F272" s="100" t="s">
        <v>660</v>
      </c>
      <c r="G272" s="100" t="s">
        <v>411</v>
      </c>
      <c r="H272" s="100" t="s">
        <v>661</v>
      </c>
      <c r="I272" s="99" t="s">
        <v>413</v>
      </c>
      <c r="J272" s="99">
        <v>1</v>
      </c>
      <c r="K272" s="101">
        <f>(K273+K274+K275+K277+K279)/5+(K276+K278+K280+K281)/10</f>
        <v>0.875</v>
      </c>
      <c r="L272" s="99" t="s">
        <v>46</v>
      </c>
      <c r="M272" s="99" t="s">
        <v>46</v>
      </c>
      <c r="N272" s="101">
        <f>(N273+N274+N275+N277+N279)/5+(N276+N278+N280+N281)/10</f>
        <v>1.14966666666667</v>
      </c>
      <c r="O272" s="99" t="s">
        <v>46</v>
      </c>
      <c r="P272" s="102"/>
    </row>
    <row r="273" hidden="1" customHeight="1" outlineLevel="1" spans="2:16">
      <c r="B273" s="103">
        <v>40.1</v>
      </c>
      <c r="C273" s="47"/>
      <c r="D273" s="47"/>
      <c r="E273" s="47"/>
      <c r="F273" s="47"/>
      <c r="G273" s="47" t="s">
        <v>662</v>
      </c>
      <c r="H273" s="47" t="s">
        <v>415</v>
      </c>
      <c r="I273" s="103" t="s">
        <v>58</v>
      </c>
      <c r="J273" s="103">
        <v>1</v>
      </c>
      <c r="K273" s="104">
        <v>0.0833333333333333</v>
      </c>
      <c r="L273" s="103"/>
      <c r="M273" s="103"/>
      <c r="N273" s="113">
        <v>0.0833333333333333</v>
      </c>
      <c r="O273" s="46"/>
      <c r="P273" s="5"/>
    </row>
    <row r="274" hidden="1" customHeight="1" outlineLevel="1" spans="2:16">
      <c r="B274" s="103">
        <v>40.2</v>
      </c>
      <c r="C274" s="47"/>
      <c r="D274" s="47"/>
      <c r="E274" s="47"/>
      <c r="F274" s="47"/>
      <c r="G274" s="47" t="s">
        <v>663</v>
      </c>
      <c r="H274" s="47" t="s">
        <v>417</v>
      </c>
      <c r="I274" s="103" t="s">
        <v>418</v>
      </c>
      <c r="J274" s="103">
        <v>1</v>
      </c>
      <c r="K274" s="104">
        <v>0.5</v>
      </c>
      <c r="L274" s="103"/>
      <c r="M274" s="103"/>
      <c r="N274" s="113">
        <v>0.5</v>
      </c>
      <c r="O274" s="46"/>
      <c r="P274" s="5"/>
    </row>
    <row r="275" hidden="1" customHeight="1" outlineLevel="1" spans="2:16">
      <c r="B275" s="103">
        <v>40.3</v>
      </c>
      <c r="C275" s="47"/>
      <c r="D275" s="47"/>
      <c r="E275" s="47"/>
      <c r="F275" s="47"/>
      <c r="G275" s="47" t="s">
        <v>414</v>
      </c>
      <c r="H275" s="47" t="s">
        <v>420</v>
      </c>
      <c r="I275" s="103" t="s">
        <v>58</v>
      </c>
      <c r="J275" s="103">
        <v>1</v>
      </c>
      <c r="K275" s="104">
        <v>1</v>
      </c>
      <c r="L275" s="103"/>
      <c r="M275" s="103"/>
      <c r="N275" s="113">
        <v>1.5</v>
      </c>
      <c r="O275" s="46"/>
      <c r="P275" s="5"/>
    </row>
    <row r="276" hidden="1" customHeight="1" outlineLevel="1" spans="2:16">
      <c r="B276" s="103">
        <v>40.4</v>
      </c>
      <c r="C276" s="47"/>
      <c r="D276" s="47"/>
      <c r="E276" s="47"/>
      <c r="F276" s="47"/>
      <c r="G276" s="47" t="s">
        <v>416</v>
      </c>
      <c r="H276" s="47" t="s">
        <v>420</v>
      </c>
      <c r="I276" s="103" t="s">
        <v>58</v>
      </c>
      <c r="J276" s="103">
        <v>1</v>
      </c>
      <c r="K276" s="104">
        <v>1</v>
      </c>
      <c r="L276" s="103"/>
      <c r="M276" s="103"/>
      <c r="N276" s="113">
        <v>1.5</v>
      </c>
      <c r="O276" s="46"/>
      <c r="P276" s="5"/>
    </row>
    <row r="277" hidden="1" customHeight="1" outlineLevel="1" spans="2:16">
      <c r="B277" s="103">
        <v>40.5</v>
      </c>
      <c r="C277" s="47"/>
      <c r="D277" s="47"/>
      <c r="E277" s="47"/>
      <c r="F277" s="47"/>
      <c r="G277" s="47" t="s">
        <v>419</v>
      </c>
      <c r="H277" s="47" t="s">
        <v>423</v>
      </c>
      <c r="I277" s="103" t="s">
        <v>58</v>
      </c>
      <c r="J277" s="103">
        <v>1</v>
      </c>
      <c r="K277" s="104">
        <v>0.5</v>
      </c>
      <c r="L277" s="103"/>
      <c r="M277" s="103"/>
      <c r="N277" s="113">
        <v>0.75</v>
      </c>
      <c r="O277" s="46"/>
      <c r="P277" s="5"/>
    </row>
    <row r="278" hidden="1" customHeight="1" outlineLevel="1" spans="2:16">
      <c r="B278" s="103">
        <v>40.6</v>
      </c>
      <c r="C278" s="47"/>
      <c r="D278" s="47"/>
      <c r="E278" s="47"/>
      <c r="F278" s="47"/>
      <c r="G278" s="47" t="s">
        <v>419</v>
      </c>
      <c r="H278" s="47" t="s">
        <v>425</v>
      </c>
      <c r="I278" s="103" t="s">
        <v>58</v>
      </c>
      <c r="J278" s="103">
        <v>1</v>
      </c>
      <c r="K278" s="104">
        <v>0.25</v>
      </c>
      <c r="L278" s="103"/>
      <c r="M278" s="103"/>
      <c r="N278" s="113">
        <v>0.33</v>
      </c>
      <c r="O278" s="46"/>
      <c r="P278" s="5"/>
    </row>
    <row r="279" hidden="1" customHeight="1" outlineLevel="1" spans="2:16">
      <c r="B279" s="103">
        <v>40.7</v>
      </c>
      <c r="C279" s="47"/>
      <c r="D279" s="47"/>
      <c r="E279" s="47"/>
      <c r="F279" s="47"/>
      <c r="G279" s="47" t="s">
        <v>422</v>
      </c>
      <c r="H279" s="47" t="s">
        <v>422</v>
      </c>
      <c r="I279" s="103" t="s">
        <v>58</v>
      </c>
      <c r="J279" s="103">
        <v>1</v>
      </c>
      <c r="K279" s="104">
        <v>0.666666666666666</v>
      </c>
      <c r="L279" s="103"/>
      <c r="M279" s="103"/>
      <c r="N279" s="113">
        <v>1</v>
      </c>
      <c r="O279" s="46"/>
      <c r="P279" s="5"/>
    </row>
    <row r="280" hidden="1" customHeight="1" outlineLevel="1" spans="2:16">
      <c r="B280" s="103">
        <v>40.8</v>
      </c>
      <c r="C280" s="47"/>
      <c r="D280" s="47"/>
      <c r="E280" s="47"/>
      <c r="F280" s="47"/>
      <c r="G280" s="47" t="s">
        <v>424</v>
      </c>
      <c r="H280" s="47" t="s">
        <v>424</v>
      </c>
      <c r="I280" s="103" t="s">
        <v>58</v>
      </c>
      <c r="J280" s="103">
        <v>1</v>
      </c>
      <c r="K280" s="104">
        <v>1.5</v>
      </c>
      <c r="L280" s="103"/>
      <c r="M280" s="103"/>
      <c r="N280" s="113">
        <v>1.5</v>
      </c>
      <c r="O280" s="46"/>
      <c r="P280" s="5"/>
    </row>
    <row r="281" hidden="1" customHeight="1" outlineLevel="1" spans="2:16">
      <c r="B281" s="103">
        <v>40.9</v>
      </c>
      <c r="C281" s="47"/>
      <c r="D281" s="47"/>
      <c r="E281" s="47"/>
      <c r="F281" s="47"/>
      <c r="G281" s="47" t="s">
        <v>426</v>
      </c>
      <c r="H281" s="47" t="s">
        <v>427</v>
      </c>
      <c r="I281" s="103" t="s">
        <v>409</v>
      </c>
      <c r="J281" s="103">
        <v>1</v>
      </c>
      <c r="K281" s="104">
        <v>0.5</v>
      </c>
      <c r="L281" s="103"/>
      <c r="M281" s="103"/>
      <c r="N281" s="113">
        <v>0.5</v>
      </c>
      <c r="O281" s="46"/>
      <c r="P281" s="5"/>
    </row>
    <row r="282" ht="18" customHeight="1" collapsed="1" spans="2:16">
      <c r="B282" s="46">
        <v>41</v>
      </c>
      <c r="C282" s="100" t="s">
        <v>53</v>
      </c>
      <c r="D282" s="100" t="s">
        <v>53</v>
      </c>
      <c r="E282" s="100" t="s">
        <v>403</v>
      </c>
      <c r="F282" s="100" t="s">
        <v>660</v>
      </c>
      <c r="G282" s="100" t="s">
        <v>664</v>
      </c>
      <c r="H282" s="100" t="s">
        <v>429</v>
      </c>
      <c r="I282" s="99" t="s">
        <v>413</v>
      </c>
      <c r="J282" s="99">
        <v>1</v>
      </c>
      <c r="K282" s="101">
        <f>SUM(K283:K296)/5</f>
        <v>0.683333333333333</v>
      </c>
      <c r="L282" s="99" t="s">
        <v>46</v>
      </c>
      <c r="M282" s="99" t="s">
        <v>46</v>
      </c>
      <c r="N282" s="101">
        <f>SUM(N283:N296)/5</f>
        <v>0.92</v>
      </c>
      <c r="O282" s="99" t="s">
        <v>46</v>
      </c>
      <c r="P282" s="102"/>
    </row>
    <row r="283" hidden="1" customHeight="1" outlineLevel="1" spans="2:16">
      <c r="B283" s="106" t="s">
        <v>665</v>
      </c>
      <c r="C283" s="47"/>
      <c r="D283" s="47"/>
      <c r="E283" s="47"/>
      <c r="F283" s="47"/>
      <c r="G283" s="47" t="s">
        <v>431</v>
      </c>
      <c r="H283" s="47" t="s">
        <v>432</v>
      </c>
      <c r="I283" s="103" t="s">
        <v>58</v>
      </c>
      <c r="J283" s="103">
        <v>1</v>
      </c>
      <c r="K283" s="104">
        <v>0.0833333333333333</v>
      </c>
      <c r="L283" s="103"/>
      <c r="M283" s="103"/>
      <c r="N283" s="104">
        <v>0.0833333333333333</v>
      </c>
      <c r="O283" s="103"/>
      <c r="P283" s="5"/>
    </row>
    <row r="284" ht="27.75" hidden="1" customHeight="1" outlineLevel="1" spans="2:16">
      <c r="B284" s="106" t="s">
        <v>666</v>
      </c>
      <c r="C284" s="47"/>
      <c r="D284" s="47"/>
      <c r="E284" s="47"/>
      <c r="F284" s="47"/>
      <c r="G284" s="47" t="s">
        <v>434</v>
      </c>
      <c r="H284" s="61" t="s">
        <v>435</v>
      </c>
      <c r="I284" s="103" t="s">
        <v>58</v>
      </c>
      <c r="J284" s="103">
        <v>1</v>
      </c>
      <c r="K284" s="104">
        <v>0.166666666666667</v>
      </c>
      <c r="L284" s="103"/>
      <c r="M284" s="103"/>
      <c r="N284" s="104">
        <v>0.25</v>
      </c>
      <c r="O284" s="103"/>
      <c r="P284" s="5"/>
    </row>
    <row r="285" ht="54.75" hidden="1" customHeight="1" outlineLevel="1" spans="2:16">
      <c r="B285" s="106" t="s">
        <v>667</v>
      </c>
      <c r="C285" s="47"/>
      <c r="D285" s="47"/>
      <c r="E285" s="47"/>
      <c r="F285" s="47"/>
      <c r="G285" s="47" t="s">
        <v>437</v>
      </c>
      <c r="H285" s="61" t="s">
        <v>438</v>
      </c>
      <c r="I285" s="103" t="s">
        <v>58</v>
      </c>
      <c r="J285" s="103">
        <v>1</v>
      </c>
      <c r="K285" s="104">
        <v>0.0833333333333333</v>
      </c>
      <c r="L285" s="103"/>
      <c r="M285" s="103"/>
      <c r="N285" s="104">
        <v>0.0833333333333333</v>
      </c>
      <c r="O285" s="103"/>
      <c r="P285" s="5"/>
    </row>
    <row r="286" ht="41.25" hidden="1" customHeight="1" outlineLevel="1" spans="2:16">
      <c r="B286" s="106" t="s">
        <v>668</v>
      </c>
      <c r="C286" s="47"/>
      <c r="D286" s="47"/>
      <c r="E286" s="47"/>
      <c r="F286" s="47"/>
      <c r="G286" s="47" t="s">
        <v>440</v>
      </c>
      <c r="H286" s="61" t="s">
        <v>441</v>
      </c>
      <c r="I286" s="103" t="s">
        <v>58</v>
      </c>
      <c r="J286" s="103">
        <v>1</v>
      </c>
      <c r="K286" s="104">
        <v>0.333333333333333</v>
      </c>
      <c r="L286" s="103"/>
      <c r="M286" s="103"/>
      <c r="N286" s="104">
        <v>0.5</v>
      </c>
      <c r="O286" s="103"/>
      <c r="P286" s="5"/>
    </row>
    <row r="287" ht="81.75" hidden="1" customHeight="1" outlineLevel="1" spans="2:16">
      <c r="B287" s="106" t="s">
        <v>669</v>
      </c>
      <c r="C287" s="47"/>
      <c r="D287" s="47"/>
      <c r="E287" s="47"/>
      <c r="F287" s="47"/>
      <c r="G287" s="47" t="s">
        <v>443</v>
      </c>
      <c r="H287" s="61" t="s">
        <v>444</v>
      </c>
      <c r="I287" s="103" t="s">
        <v>58</v>
      </c>
      <c r="J287" s="103">
        <v>1</v>
      </c>
      <c r="K287" s="104">
        <v>0.5</v>
      </c>
      <c r="L287" s="103"/>
      <c r="M287" s="103"/>
      <c r="N287" s="104">
        <v>0.5</v>
      </c>
      <c r="O287" s="103"/>
      <c r="P287" s="5"/>
    </row>
    <row r="288" ht="95.25" hidden="1" customHeight="1" outlineLevel="1" spans="2:16">
      <c r="B288" s="106" t="s">
        <v>670</v>
      </c>
      <c r="C288" s="47"/>
      <c r="D288" s="47"/>
      <c r="E288" s="47"/>
      <c r="F288" s="47"/>
      <c r="G288" s="47" t="s">
        <v>446</v>
      </c>
      <c r="H288" s="61" t="s">
        <v>447</v>
      </c>
      <c r="I288" s="103" t="s">
        <v>58</v>
      </c>
      <c r="J288" s="103">
        <v>1</v>
      </c>
      <c r="K288" s="104">
        <v>0.166666666666667</v>
      </c>
      <c r="L288" s="103"/>
      <c r="M288" s="103"/>
      <c r="N288" s="104">
        <v>0.166666666666667</v>
      </c>
      <c r="O288" s="103"/>
      <c r="P288" s="5"/>
    </row>
    <row r="289" ht="27.75" hidden="1" customHeight="1" outlineLevel="1" spans="2:16">
      <c r="B289" s="106" t="s">
        <v>671</v>
      </c>
      <c r="C289" s="47"/>
      <c r="D289" s="47"/>
      <c r="E289" s="47"/>
      <c r="F289" s="47"/>
      <c r="G289" s="47" t="s">
        <v>449</v>
      </c>
      <c r="H289" s="61" t="s">
        <v>450</v>
      </c>
      <c r="I289" s="103" t="s">
        <v>58</v>
      </c>
      <c r="J289" s="103">
        <v>1</v>
      </c>
      <c r="K289" s="104">
        <v>0.333333333333334</v>
      </c>
      <c r="L289" s="103"/>
      <c r="M289" s="103"/>
      <c r="N289" s="104">
        <v>0.6</v>
      </c>
      <c r="O289" s="103"/>
      <c r="P289" s="5"/>
    </row>
    <row r="290" ht="108.75" hidden="1" customHeight="1" outlineLevel="1" spans="2:16">
      <c r="B290" s="106" t="s">
        <v>672</v>
      </c>
      <c r="C290" s="47"/>
      <c r="D290" s="47"/>
      <c r="E290" s="47"/>
      <c r="F290" s="47"/>
      <c r="G290" s="47" t="s">
        <v>452</v>
      </c>
      <c r="H290" s="61" t="s">
        <v>453</v>
      </c>
      <c r="I290" s="103" t="s">
        <v>58</v>
      </c>
      <c r="J290" s="103">
        <v>1</v>
      </c>
      <c r="K290" s="104">
        <v>0.333333333333333</v>
      </c>
      <c r="L290" s="103"/>
      <c r="M290" s="103"/>
      <c r="N290" s="104">
        <v>0.5</v>
      </c>
      <c r="O290" s="103"/>
      <c r="P290" s="5"/>
    </row>
    <row r="291" ht="54.75" hidden="1" customHeight="1" outlineLevel="1" spans="2:16">
      <c r="B291" s="106" t="s">
        <v>673</v>
      </c>
      <c r="C291" s="47"/>
      <c r="D291" s="47"/>
      <c r="E291" s="47"/>
      <c r="F291" s="47"/>
      <c r="G291" s="47" t="s">
        <v>455</v>
      </c>
      <c r="H291" s="61" t="s">
        <v>456</v>
      </c>
      <c r="I291" s="103" t="s">
        <v>58</v>
      </c>
      <c r="J291" s="103">
        <v>1</v>
      </c>
      <c r="K291" s="104">
        <v>0.333333333333334</v>
      </c>
      <c r="L291" s="103"/>
      <c r="M291" s="103"/>
      <c r="N291" s="104">
        <v>0.333333333333334</v>
      </c>
      <c r="O291" s="103"/>
      <c r="P291" s="5"/>
    </row>
    <row r="292" ht="27.75" hidden="1" customHeight="1" outlineLevel="1" spans="2:16">
      <c r="B292" s="106" t="s">
        <v>674</v>
      </c>
      <c r="C292" s="47"/>
      <c r="D292" s="47"/>
      <c r="E292" s="47"/>
      <c r="F292" s="47"/>
      <c r="G292" s="47" t="s">
        <v>458</v>
      </c>
      <c r="H292" s="61" t="s">
        <v>459</v>
      </c>
      <c r="I292" s="103" t="s">
        <v>58</v>
      </c>
      <c r="J292" s="103">
        <v>1</v>
      </c>
      <c r="K292" s="104">
        <v>0.0833333333333333</v>
      </c>
      <c r="L292" s="103"/>
      <c r="M292" s="103"/>
      <c r="N292" s="104">
        <v>0.0833333333333333</v>
      </c>
      <c r="O292" s="103"/>
      <c r="P292" s="5"/>
    </row>
    <row r="293" ht="81.75" hidden="1" customHeight="1" outlineLevel="1" spans="2:16">
      <c r="B293" s="106" t="s">
        <v>675</v>
      </c>
      <c r="C293" s="47"/>
      <c r="D293" s="47"/>
      <c r="E293" s="47"/>
      <c r="F293" s="47"/>
      <c r="G293" s="47" t="s">
        <v>461</v>
      </c>
      <c r="H293" s="61" t="s">
        <v>676</v>
      </c>
      <c r="I293" s="103" t="s">
        <v>58</v>
      </c>
      <c r="J293" s="103">
        <v>1</v>
      </c>
      <c r="K293" s="104">
        <v>0.666666666666666</v>
      </c>
      <c r="L293" s="103"/>
      <c r="M293" s="103"/>
      <c r="N293" s="104">
        <v>0.666666666666666</v>
      </c>
      <c r="O293" s="103"/>
      <c r="P293" s="5"/>
    </row>
    <row r="294" ht="27.75" hidden="1" customHeight="1" outlineLevel="1" spans="2:16">
      <c r="B294" s="106" t="s">
        <v>677</v>
      </c>
      <c r="C294" s="47"/>
      <c r="D294" s="47"/>
      <c r="E294" s="47"/>
      <c r="F294" s="47"/>
      <c r="G294" s="47" t="s">
        <v>464</v>
      </c>
      <c r="H294" s="61" t="s">
        <v>465</v>
      </c>
      <c r="I294" s="103" t="s">
        <v>58</v>
      </c>
      <c r="J294" s="103">
        <v>1</v>
      </c>
      <c r="K294" s="104">
        <v>0.333333333333333</v>
      </c>
      <c r="L294" s="103"/>
      <c r="M294" s="103"/>
      <c r="N294" s="104">
        <v>0.333333333333333</v>
      </c>
      <c r="O294" s="103"/>
      <c r="P294" s="5"/>
    </row>
    <row r="295" ht="203.25" hidden="1" customHeight="1" outlineLevel="1" spans="2:16">
      <c r="B295" s="106" t="s">
        <v>678</v>
      </c>
      <c r="C295" s="47"/>
      <c r="D295" s="47"/>
      <c r="E295" s="47"/>
      <c r="F295" s="47"/>
      <c r="G295" s="47" t="s">
        <v>467</v>
      </c>
      <c r="H295" s="61" t="s">
        <v>468</v>
      </c>
      <c r="I295" s="103" t="s">
        <v>58</v>
      </c>
      <c r="J295" s="103">
        <v>1</v>
      </c>
      <c r="K295" s="104">
        <v>0</v>
      </c>
      <c r="L295" s="103"/>
      <c r="M295" s="103"/>
      <c r="N295" s="104">
        <v>0</v>
      </c>
      <c r="O295" s="103"/>
      <c r="P295" s="5"/>
    </row>
    <row r="296" ht="311.25" hidden="1" customHeight="1" outlineLevel="1" spans="2:16">
      <c r="B296" s="106" t="s">
        <v>679</v>
      </c>
      <c r="C296" s="47"/>
      <c r="D296" s="47"/>
      <c r="E296" s="47"/>
      <c r="F296" s="47"/>
      <c r="G296" s="47" t="s">
        <v>470</v>
      </c>
      <c r="H296" s="61" t="s">
        <v>471</v>
      </c>
      <c r="I296" s="103" t="s">
        <v>58</v>
      </c>
      <c r="J296" s="103">
        <v>1</v>
      </c>
      <c r="K296" s="104">
        <v>0</v>
      </c>
      <c r="L296" s="103"/>
      <c r="M296" s="103"/>
      <c r="N296" s="104">
        <v>0.5</v>
      </c>
      <c r="O296" s="103"/>
      <c r="P296" s="5"/>
    </row>
    <row r="297" ht="18" customHeight="1" collapsed="1" spans="2:16">
      <c r="B297" s="46">
        <v>42</v>
      </c>
      <c r="C297" s="100" t="s">
        <v>53</v>
      </c>
      <c r="D297" s="100" t="s">
        <v>53</v>
      </c>
      <c r="E297" s="100" t="s">
        <v>403</v>
      </c>
      <c r="F297" s="100" t="s">
        <v>660</v>
      </c>
      <c r="G297" s="100" t="s">
        <v>680</v>
      </c>
      <c r="H297" s="100" t="s">
        <v>473</v>
      </c>
      <c r="I297" s="99" t="s">
        <v>413</v>
      </c>
      <c r="J297" s="99">
        <v>1</v>
      </c>
      <c r="K297" s="101">
        <f>(SUM(K298:K306))/5</f>
        <v>0.633333333333333</v>
      </c>
      <c r="L297" s="99" t="s">
        <v>46</v>
      </c>
      <c r="M297" s="99" t="s">
        <v>46</v>
      </c>
      <c r="N297" s="101">
        <f>(SUM(N298:N306))/5</f>
        <v>0.650666666666666</v>
      </c>
      <c r="O297" s="99" t="s">
        <v>46</v>
      </c>
      <c r="P297" s="102"/>
    </row>
    <row r="298" ht="81.75" hidden="1" customHeight="1" outlineLevel="1" spans="2:16">
      <c r="B298" s="103">
        <v>42.1</v>
      </c>
      <c r="C298" s="47"/>
      <c r="D298" s="47"/>
      <c r="E298" s="47"/>
      <c r="F298" s="47"/>
      <c r="G298" s="47" t="s">
        <v>474</v>
      </c>
      <c r="H298" s="61" t="s">
        <v>681</v>
      </c>
      <c r="I298" s="103" t="s">
        <v>58</v>
      </c>
      <c r="J298" s="103">
        <v>1</v>
      </c>
      <c r="K298" s="104">
        <v>0.166666666666667</v>
      </c>
      <c r="L298" s="103"/>
      <c r="M298" s="103"/>
      <c r="N298" s="104">
        <v>0.166666666666667</v>
      </c>
      <c r="O298" s="103"/>
      <c r="P298" s="5"/>
    </row>
    <row r="299" ht="27.75" hidden="1" customHeight="1" outlineLevel="1" spans="2:16">
      <c r="B299" s="103">
        <v>42.2</v>
      </c>
      <c r="C299" s="47"/>
      <c r="D299" s="47"/>
      <c r="E299" s="47"/>
      <c r="F299" s="47"/>
      <c r="G299" s="47" t="s">
        <v>492</v>
      </c>
      <c r="H299" s="61" t="s">
        <v>493</v>
      </c>
      <c r="I299" s="103" t="s">
        <v>409</v>
      </c>
      <c r="J299" s="103">
        <v>1</v>
      </c>
      <c r="K299" s="104">
        <v>1</v>
      </c>
      <c r="L299" s="103"/>
      <c r="M299" s="103"/>
      <c r="N299" s="104">
        <v>1</v>
      </c>
      <c r="O299" s="103"/>
      <c r="P299" s="5"/>
    </row>
    <row r="300" ht="41.25" hidden="1" customHeight="1" outlineLevel="1" spans="2:16">
      <c r="B300" s="103">
        <v>42.3</v>
      </c>
      <c r="C300" s="47"/>
      <c r="D300" s="47"/>
      <c r="E300" s="47"/>
      <c r="F300" s="47"/>
      <c r="G300" s="47" t="s">
        <v>476</v>
      </c>
      <c r="H300" s="61" t="s">
        <v>477</v>
      </c>
      <c r="I300" s="103" t="s">
        <v>58</v>
      </c>
      <c r="J300" s="103">
        <v>1</v>
      </c>
      <c r="K300" s="104">
        <v>0.0833333333333333</v>
      </c>
      <c r="L300" s="103"/>
      <c r="M300" s="103"/>
      <c r="N300" s="104">
        <v>0.17</v>
      </c>
      <c r="O300" s="103"/>
      <c r="P300" s="5"/>
    </row>
    <row r="301" ht="54.75" hidden="1" customHeight="1" outlineLevel="1" spans="2:16">
      <c r="B301" s="103">
        <v>42.4</v>
      </c>
      <c r="C301" s="47"/>
      <c r="D301" s="47"/>
      <c r="E301" s="47"/>
      <c r="F301" s="47"/>
      <c r="G301" s="47" t="s">
        <v>478</v>
      </c>
      <c r="H301" s="61" t="s">
        <v>479</v>
      </c>
      <c r="I301" s="103" t="s">
        <v>58</v>
      </c>
      <c r="J301" s="103">
        <v>1</v>
      </c>
      <c r="K301" s="104">
        <v>0.166666666666667</v>
      </c>
      <c r="L301" s="103"/>
      <c r="M301" s="103"/>
      <c r="N301" s="104">
        <v>0.166666666666667</v>
      </c>
      <c r="O301" s="103"/>
      <c r="P301" s="5"/>
    </row>
    <row r="302" ht="27.75" hidden="1" customHeight="1" outlineLevel="1" spans="2:16">
      <c r="B302" s="103">
        <v>42.5</v>
      </c>
      <c r="C302" s="47"/>
      <c r="D302" s="47"/>
      <c r="E302" s="47"/>
      <c r="F302" s="47"/>
      <c r="G302" s="47" t="s">
        <v>480</v>
      </c>
      <c r="H302" s="61" t="s">
        <v>481</v>
      </c>
      <c r="I302" s="103" t="s">
        <v>58</v>
      </c>
      <c r="J302" s="103">
        <v>2</v>
      </c>
      <c r="K302" s="104">
        <v>0.166666666666667</v>
      </c>
      <c r="L302" s="103"/>
      <c r="M302" s="103"/>
      <c r="N302" s="104">
        <v>0.166666666666667</v>
      </c>
      <c r="O302" s="103"/>
      <c r="P302" s="5"/>
    </row>
    <row r="303" ht="54.75" hidden="1" customHeight="1" outlineLevel="1" spans="2:16">
      <c r="B303" s="103">
        <v>42.6</v>
      </c>
      <c r="C303" s="47"/>
      <c r="D303" s="47"/>
      <c r="E303" s="47"/>
      <c r="F303" s="47"/>
      <c r="G303" s="47" t="s">
        <v>482</v>
      </c>
      <c r="H303" s="61" t="s">
        <v>483</v>
      </c>
      <c r="I303" s="103" t="s">
        <v>421</v>
      </c>
      <c r="J303" s="103">
        <v>1</v>
      </c>
      <c r="K303" s="104">
        <v>0.333333333333334</v>
      </c>
      <c r="L303" s="103"/>
      <c r="M303" s="103"/>
      <c r="N303" s="104">
        <v>0.333333333333334</v>
      </c>
      <c r="O303" s="103"/>
      <c r="P303" s="5"/>
    </row>
    <row r="304" ht="68.25" hidden="1" customHeight="1" outlineLevel="1" spans="2:16">
      <c r="B304" s="103">
        <v>42.7</v>
      </c>
      <c r="C304" s="47"/>
      <c r="D304" s="47"/>
      <c r="E304" s="47"/>
      <c r="F304" s="47"/>
      <c r="G304" s="47" t="s">
        <v>484</v>
      </c>
      <c r="H304" s="61" t="s">
        <v>485</v>
      </c>
      <c r="I304" s="103" t="s">
        <v>58</v>
      </c>
      <c r="J304" s="103">
        <v>1</v>
      </c>
      <c r="K304" s="104">
        <v>1.08333333333333</v>
      </c>
      <c r="L304" s="103"/>
      <c r="M304" s="103"/>
      <c r="N304" s="104">
        <v>1.08333333333333</v>
      </c>
      <c r="O304" s="103"/>
      <c r="P304" s="5"/>
    </row>
    <row r="305" hidden="1" customHeight="1" outlineLevel="1" spans="2:16">
      <c r="B305" s="103">
        <v>42.8</v>
      </c>
      <c r="C305" s="47"/>
      <c r="D305" s="47"/>
      <c r="E305" s="47"/>
      <c r="F305" s="47"/>
      <c r="G305" s="47" t="s">
        <v>486</v>
      </c>
      <c r="H305" s="47" t="s">
        <v>487</v>
      </c>
      <c r="I305" s="103" t="s">
        <v>58</v>
      </c>
      <c r="J305" s="103">
        <v>1</v>
      </c>
      <c r="K305" s="104">
        <v>0.0833333333333333</v>
      </c>
      <c r="L305" s="103"/>
      <c r="M305" s="103"/>
      <c r="N305" s="104">
        <v>0.0833333333333333</v>
      </c>
      <c r="O305" s="103"/>
      <c r="P305" s="5" t="s">
        <v>682</v>
      </c>
    </row>
    <row r="306" ht="54.75" hidden="1" customHeight="1" outlineLevel="1" spans="2:16">
      <c r="B306" s="103">
        <v>42.9</v>
      </c>
      <c r="C306" s="47"/>
      <c r="D306" s="47"/>
      <c r="E306" s="47"/>
      <c r="F306" s="47"/>
      <c r="G306" s="47" t="s">
        <v>488</v>
      </c>
      <c r="H306" s="61" t="s">
        <v>489</v>
      </c>
      <c r="I306" s="103" t="s">
        <v>58</v>
      </c>
      <c r="J306" s="103">
        <v>1</v>
      </c>
      <c r="K306" s="104">
        <v>0.0833333333333333</v>
      </c>
      <c r="L306" s="103"/>
      <c r="M306" s="103"/>
      <c r="N306" s="104">
        <v>0.0833333333333333</v>
      </c>
      <c r="O306" s="103"/>
      <c r="P306" s="5"/>
    </row>
    <row r="307" ht="18" customHeight="1" collapsed="1" spans="2:16">
      <c r="B307" s="46">
        <v>43</v>
      </c>
      <c r="C307" s="100" t="s">
        <v>53</v>
      </c>
      <c r="D307" s="100" t="s">
        <v>53</v>
      </c>
      <c r="E307" s="100" t="s">
        <v>403</v>
      </c>
      <c r="F307" s="100" t="s">
        <v>660</v>
      </c>
      <c r="G307" s="100" t="s">
        <v>683</v>
      </c>
      <c r="H307" s="100" t="s">
        <v>491</v>
      </c>
      <c r="I307" s="99" t="s">
        <v>409</v>
      </c>
      <c r="J307" s="99">
        <v>1</v>
      </c>
      <c r="K307" s="101">
        <f>SUMIF(I308:I314,"站",K308:K315)</f>
        <v>1.83333333333333</v>
      </c>
      <c r="L307" s="99" t="s">
        <v>46</v>
      </c>
      <c r="M307" s="99" t="s">
        <v>46</v>
      </c>
      <c r="N307" s="101">
        <f>SUMIF(I308:I314,"站",N308:N315)</f>
        <v>1.83333333333333</v>
      </c>
      <c r="O307" s="99" t="s">
        <v>46</v>
      </c>
      <c r="P307" s="102"/>
    </row>
    <row r="308" ht="27.75" hidden="1" customHeight="1" outlineLevel="1" spans="2:16">
      <c r="B308" s="106" t="s">
        <v>684</v>
      </c>
      <c r="C308" s="47"/>
      <c r="D308" s="47"/>
      <c r="E308" s="47"/>
      <c r="F308" s="47"/>
      <c r="G308" s="47" t="s">
        <v>495</v>
      </c>
      <c r="H308" s="61" t="s">
        <v>496</v>
      </c>
      <c r="I308" s="103" t="s">
        <v>409</v>
      </c>
      <c r="J308" s="103">
        <v>1</v>
      </c>
      <c r="K308" s="104">
        <v>0.0833333333333333</v>
      </c>
      <c r="L308" s="103"/>
      <c r="M308" s="103"/>
      <c r="N308" s="104">
        <v>0.0833333333333333</v>
      </c>
      <c r="O308" s="103"/>
      <c r="P308" s="5"/>
    </row>
    <row r="309" ht="27.75" hidden="1" customHeight="1" outlineLevel="1" spans="2:16">
      <c r="B309" s="106" t="s">
        <v>685</v>
      </c>
      <c r="C309" s="47"/>
      <c r="D309" s="47"/>
      <c r="E309" s="47"/>
      <c r="F309" s="47"/>
      <c r="G309" s="47" t="s">
        <v>498</v>
      </c>
      <c r="H309" s="61" t="s">
        <v>499</v>
      </c>
      <c r="I309" s="103" t="s">
        <v>409</v>
      </c>
      <c r="J309" s="103">
        <v>1</v>
      </c>
      <c r="K309" s="104">
        <v>0.333333333333333</v>
      </c>
      <c r="L309" s="103"/>
      <c r="M309" s="103"/>
      <c r="N309" s="104">
        <v>0.333333333333333</v>
      </c>
      <c r="O309" s="103"/>
      <c r="P309" s="5"/>
    </row>
    <row r="310" ht="31.5" hidden="1" customHeight="1" outlineLevel="1" spans="2:16">
      <c r="B310" s="106" t="s">
        <v>686</v>
      </c>
      <c r="C310" s="47"/>
      <c r="D310" s="47"/>
      <c r="E310" s="47"/>
      <c r="F310" s="47"/>
      <c r="G310" s="47" t="s">
        <v>501</v>
      </c>
      <c r="H310" s="61" t="s">
        <v>502</v>
      </c>
      <c r="I310" s="103" t="s">
        <v>409</v>
      </c>
      <c r="J310" s="103">
        <v>1</v>
      </c>
      <c r="K310" s="104">
        <v>0.333333333333333</v>
      </c>
      <c r="L310" s="103"/>
      <c r="M310" s="103"/>
      <c r="N310" s="104">
        <v>0.333333333333333</v>
      </c>
      <c r="O310" s="103"/>
      <c r="P310" s="5"/>
    </row>
    <row r="311" ht="27.75" hidden="1" customHeight="1" outlineLevel="1" spans="2:16">
      <c r="B311" s="106" t="s">
        <v>687</v>
      </c>
      <c r="C311" s="47"/>
      <c r="D311" s="47"/>
      <c r="E311" s="47"/>
      <c r="F311" s="47"/>
      <c r="G311" s="47" t="s">
        <v>504</v>
      </c>
      <c r="H311" s="61" t="s">
        <v>505</v>
      </c>
      <c r="I311" s="103" t="s">
        <v>409</v>
      </c>
      <c r="J311" s="103">
        <v>1</v>
      </c>
      <c r="K311" s="104">
        <v>0.25</v>
      </c>
      <c r="L311" s="103"/>
      <c r="M311" s="103"/>
      <c r="N311" s="104">
        <v>0.25</v>
      </c>
      <c r="O311" s="103"/>
      <c r="P311" s="5"/>
    </row>
    <row r="312" hidden="1" customHeight="1" outlineLevel="1" spans="2:16">
      <c r="B312" s="106" t="s">
        <v>688</v>
      </c>
      <c r="C312" s="47"/>
      <c r="D312" s="47"/>
      <c r="E312" s="47"/>
      <c r="F312" s="47"/>
      <c r="G312" s="47" t="s">
        <v>507</v>
      </c>
      <c r="H312" s="47" t="s">
        <v>508</v>
      </c>
      <c r="I312" s="103" t="s">
        <v>409</v>
      </c>
      <c r="J312" s="103">
        <v>1</v>
      </c>
      <c r="K312" s="104">
        <v>0.25</v>
      </c>
      <c r="L312" s="103"/>
      <c r="M312" s="103"/>
      <c r="N312" s="104">
        <v>0.25</v>
      </c>
      <c r="O312" s="103"/>
      <c r="P312" s="5"/>
    </row>
    <row r="313" ht="27.75" hidden="1" customHeight="1" outlineLevel="1" spans="2:16">
      <c r="B313" s="106" t="s">
        <v>689</v>
      </c>
      <c r="C313" s="47"/>
      <c r="D313" s="47"/>
      <c r="E313" s="47"/>
      <c r="F313" s="47"/>
      <c r="G313" s="47" t="s">
        <v>510</v>
      </c>
      <c r="H313" s="61" t="s">
        <v>511</v>
      </c>
      <c r="I313" s="103" t="s">
        <v>409</v>
      </c>
      <c r="J313" s="103">
        <v>1</v>
      </c>
      <c r="K313" s="104">
        <v>0.25</v>
      </c>
      <c r="L313" s="103"/>
      <c r="M313" s="103"/>
      <c r="N313" s="104">
        <v>0.25</v>
      </c>
      <c r="O313" s="103"/>
      <c r="P313" s="5"/>
    </row>
    <row r="314" ht="27.75" hidden="1" customHeight="1" outlineLevel="1" spans="2:16">
      <c r="B314" s="106" t="s">
        <v>690</v>
      </c>
      <c r="C314" s="47"/>
      <c r="D314" s="47"/>
      <c r="E314" s="47"/>
      <c r="F314" s="47"/>
      <c r="G314" s="47" t="s">
        <v>513</v>
      </c>
      <c r="H314" s="61" t="s">
        <v>514</v>
      </c>
      <c r="I314" s="103" t="s">
        <v>409</v>
      </c>
      <c r="J314" s="103">
        <v>1</v>
      </c>
      <c r="K314" s="104">
        <v>0.333333333333333</v>
      </c>
      <c r="L314" s="103"/>
      <c r="M314" s="103"/>
      <c r="N314" s="104">
        <v>0.333333333333333</v>
      </c>
      <c r="O314" s="103"/>
      <c r="P314" s="5"/>
    </row>
    <row r="315" ht="18" customHeight="1" collapsed="1" spans="2:16">
      <c r="B315" s="46">
        <v>44</v>
      </c>
      <c r="C315" s="100" t="s">
        <v>53</v>
      </c>
      <c r="D315" s="100" t="s">
        <v>53</v>
      </c>
      <c r="E315" s="100" t="s">
        <v>403</v>
      </c>
      <c r="F315" s="100" t="s">
        <v>660</v>
      </c>
      <c r="G315" s="100" t="s">
        <v>691</v>
      </c>
      <c r="H315" s="100" t="s">
        <v>516</v>
      </c>
      <c r="I315" s="99" t="s">
        <v>413</v>
      </c>
      <c r="J315" s="99">
        <v>1</v>
      </c>
      <c r="K315" s="101">
        <f>SUM(K316:K317)/10+K318/5</f>
        <v>0.4</v>
      </c>
      <c r="L315" s="99" t="s">
        <v>46</v>
      </c>
      <c r="M315" s="99" t="s">
        <v>46</v>
      </c>
      <c r="N315" s="101">
        <f>SUM(N316:N317)/10+N318/5</f>
        <v>0.6</v>
      </c>
      <c r="O315" s="99" t="s">
        <v>46</v>
      </c>
      <c r="P315" s="102"/>
    </row>
    <row r="316" ht="284.25" hidden="1" customHeight="1" outlineLevel="1" spans="2:16">
      <c r="B316" s="103">
        <v>44.1</v>
      </c>
      <c r="C316" s="47"/>
      <c r="D316" s="47"/>
      <c r="E316" s="47"/>
      <c r="F316" s="47"/>
      <c r="G316" s="47" t="s">
        <v>517</v>
      </c>
      <c r="H316" s="61" t="s">
        <v>518</v>
      </c>
      <c r="I316" s="103" t="s">
        <v>421</v>
      </c>
      <c r="J316" s="103">
        <v>1</v>
      </c>
      <c r="K316" s="104">
        <v>1</v>
      </c>
      <c r="L316" s="103"/>
      <c r="M316" s="103"/>
      <c r="N316" s="113">
        <v>1.5</v>
      </c>
      <c r="O316" s="103"/>
      <c r="P316" s="5"/>
    </row>
    <row r="317" ht="216.75" hidden="1" customHeight="1" outlineLevel="1" spans="2:16">
      <c r="B317" s="103">
        <v>44.2</v>
      </c>
      <c r="C317" s="47"/>
      <c r="D317" s="47"/>
      <c r="E317" s="47"/>
      <c r="F317" s="47"/>
      <c r="G317" s="47" t="s">
        <v>519</v>
      </c>
      <c r="H317" s="61" t="s">
        <v>520</v>
      </c>
      <c r="I317" s="103" t="s">
        <v>421</v>
      </c>
      <c r="J317" s="103">
        <v>1</v>
      </c>
      <c r="K317" s="104">
        <v>1</v>
      </c>
      <c r="L317" s="103"/>
      <c r="M317" s="103"/>
      <c r="N317" s="113">
        <v>1.5</v>
      </c>
      <c r="O317" s="103"/>
      <c r="P317" s="5"/>
    </row>
    <row r="318" ht="81.75" hidden="1" customHeight="1" outlineLevel="1" spans="2:16">
      <c r="B318" s="103">
        <v>44.3</v>
      </c>
      <c r="C318" s="47"/>
      <c r="D318" s="47"/>
      <c r="E318" s="47"/>
      <c r="F318" s="47"/>
      <c r="G318" s="47" t="s">
        <v>521</v>
      </c>
      <c r="H318" s="61" t="s">
        <v>522</v>
      </c>
      <c r="I318" s="103" t="s">
        <v>58</v>
      </c>
      <c r="J318" s="103">
        <v>1</v>
      </c>
      <c r="K318" s="104">
        <v>1</v>
      </c>
      <c r="L318" s="103"/>
      <c r="M318" s="103"/>
      <c r="N318" s="113">
        <v>1.5</v>
      </c>
      <c r="O318" s="103"/>
      <c r="P318" s="5"/>
    </row>
    <row r="319" ht="18" customHeight="1" collapsed="1" spans="2:16">
      <c r="B319" s="46">
        <v>45</v>
      </c>
      <c r="C319" s="100" t="s">
        <v>53</v>
      </c>
      <c r="D319" s="100" t="s">
        <v>53</v>
      </c>
      <c r="E319" s="100" t="s">
        <v>403</v>
      </c>
      <c r="F319" s="100" t="s">
        <v>660</v>
      </c>
      <c r="G319" s="100" t="s">
        <v>692</v>
      </c>
      <c r="H319" s="100" t="s">
        <v>524</v>
      </c>
      <c r="I319" s="99" t="s">
        <v>413</v>
      </c>
      <c r="J319" s="99">
        <v>1</v>
      </c>
      <c r="K319" s="101">
        <f>(SUM(K329:K335)-K328)/5</f>
        <v>0.4</v>
      </c>
      <c r="L319" s="99" t="s">
        <v>46</v>
      </c>
      <c r="M319" s="99" t="s">
        <v>46</v>
      </c>
      <c r="N319" s="101">
        <f>(SUM(N329:N335)-N328)/5</f>
        <v>0.4</v>
      </c>
      <c r="O319" s="99" t="s">
        <v>46</v>
      </c>
      <c r="P319" s="102"/>
    </row>
    <row r="320" hidden="1" customHeight="1" outlineLevel="1" spans="2:16">
      <c r="B320" s="106" t="s">
        <v>693</v>
      </c>
      <c r="C320" s="47"/>
      <c r="D320" s="47"/>
      <c r="E320" s="47"/>
      <c r="F320" s="47"/>
      <c r="G320" s="47" t="s">
        <v>694</v>
      </c>
      <c r="H320" s="47" t="s">
        <v>525</v>
      </c>
      <c r="I320" s="103" t="s">
        <v>58</v>
      </c>
      <c r="J320" s="103">
        <v>1</v>
      </c>
      <c r="K320" s="104">
        <v>0.0833333333333333</v>
      </c>
      <c r="L320" s="103"/>
      <c r="M320" s="103"/>
      <c r="N320" s="113">
        <v>0.0833333333333333</v>
      </c>
      <c r="O320" s="103"/>
      <c r="P320" s="5"/>
    </row>
    <row r="321" ht="54.75" hidden="1" customHeight="1" outlineLevel="1" spans="2:16">
      <c r="B321" s="106" t="s">
        <v>695</v>
      </c>
      <c r="C321" s="47"/>
      <c r="D321" s="47"/>
      <c r="E321" s="47"/>
      <c r="F321" s="47"/>
      <c r="G321" s="47" t="s">
        <v>696</v>
      </c>
      <c r="H321" s="61" t="s">
        <v>526</v>
      </c>
      <c r="I321" s="103" t="s">
        <v>58</v>
      </c>
      <c r="J321" s="103">
        <v>1</v>
      </c>
      <c r="K321" s="104">
        <v>0.0833333333333333</v>
      </c>
      <c r="L321" s="103"/>
      <c r="M321" s="103"/>
      <c r="N321" s="113">
        <v>0.0833333333333333</v>
      </c>
      <c r="O321" s="103"/>
      <c r="P321" s="5"/>
    </row>
    <row r="322" ht="41.25" hidden="1" customHeight="1" outlineLevel="1" spans="2:16">
      <c r="B322" s="106" t="s">
        <v>697</v>
      </c>
      <c r="C322" s="47"/>
      <c r="D322" s="47"/>
      <c r="E322" s="47"/>
      <c r="F322" s="47"/>
      <c r="G322" s="47" t="s">
        <v>698</v>
      </c>
      <c r="H322" s="61" t="s">
        <v>527</v>
      </c>
      <c r="I322" s="103" t="s">
        <v>421</v>
      </c>
      <c r="J322" s="103">
        <v>1</v>
      </c>
      <c r="K322" s="104">
        <v>0.5</v>
      </c>
      <c r="L322" s="103"/>
      <c r="M322" s="103"/>
      <c r="N322" s="113">
        <v>0.75</v>
      </c>
      <c r="O322" s="103"/>
      <c r="P322" s="5"/>
    </row>
    <row r="323" ht="41.25" hidden="1" customHeight="1" outlineLevel="1" spans="2:16">
      <c r="B323" s="106" t="s">
        <v>699</v>
      </c>
      <c r="C323" s="47"/>
      <c r="D323" s="47"/>
      <c r="E323" s="47"/>
      <c r="F323" s="47"/>
      <c r="G323" s="47" t="s">
        <v>700</v>
      </c>
      <c r="H323" s="61" t="s">
        <v>528</v>
      </c>
      <c r="I323" s="103" t="s">
        <v>58</v>
      </c>
      <c r="J323" s="103">
        <v>1</v>
      </c>
      <c r="K323" s="104">
        <v>0.0833333333333333</v>
      </c>
      <c r="L323" s="103"/>
      <c r="M323" s="103"/>
      <c r="N323" s="113">
        <v>0.0833333333333333</v>
      </c>
      <c r="O323" s="103"/>
      <c r="P323" s="5"/>
    </row>
    <row r="324" ht="68.25" hidden="1" customHeight="1" outlineLevel="1" spans="2:16">
      <c r="B324" s="106" t="s">
        <v>701</v>
      </c>
      <c r="C324" s="47"/>
      <c r="D324" s="47"/>
      <c r="E324" s="47"/>
      <c r="F324" s="47"/>
      <c r="G324" s="47" t="s">
        <v>702</v>
      </c>
      <c r="H324" s="61" t="s">
        <v>529</v>
      </c>
      <c r="I324" s="103" t="s">
        <v>421</v>
      </c>
      <c r="J324" s="103">
        <v>1</v>
      </c>
      <c r="K324" s="104">
        <v>0.25</v>
      </c>
      <c r="L324" s="103"/>
      <c r="M324" s="103"/>
      <c r="N324" s="113">
        <v>0.25</v>
      </c>
      <c r="O324" s="103"/>
      <c r="P324" s="5"/>
    </row>
    <row r="325" ht="81.75" hidden="1" customHeight="1" outlineLevel="1" spans="2:16">
      <c r="B325" s="106" t="s">
        <v>703</v>
      </c>
      <c r="C325" s="47"/>
      <c r="D325" s="47"/>
      <c r="E325" s="47"/>
      <c r="F325" s="47"/>
      <c r="G325" s="47" t="s">
        <v>704</v>
      </c>
      <c r="H325" s="61" t="s">
        <v>530</v>
      </c>
      <c r="I325" s="103" t="s">
        <v>58</v>
      </c>
      <c r="J325" s="103">
        <v>1</v>
      </c>
      <c r="K325" s="104">
        <v>1</v>
      </c>
      <c r="L325" s="103"/>
      <c r="M325" s="103"/>
      <c r="N325" s="113">
        <v>1.5</v>
      </c>
      <c r="O325" s="103"/>
      <c r="P325" s="5"/>
    </row>
    <row r="326" ht="135.75" hidden="1" customHeight="1" outlineLevel="1" spans="2:16">
      <c r="B326" s="106" t="s">
        <v>705</v>
      </c>
      <c r="C326" s="47"/>
      <c r="D326" s="47"/>
      <c r="E326" s="47"/>
      <c r="F326" s="47"/>
      <c r="G326" s="47" t="s">
        <v>706</v>
      </c>
      <c r="H326" s="61" t="s">
        <v>531</v>
      </c>
      <c r="I326" s="103" t="s">
        <v>421</v>
      </c>
      <c r="J326" s="103">
        <v>1</v>
      </c>
      <c r="K326" s="104">
        <v>1.08333333333333</v>
      </c>
      <c r="L326" s="103"/>
      <c r="M326" s="103"/>
      <c r="N326" s="113">
        <v>1.08333333333333</v>
      </c>
      <c r="O326" s="103"/>
      <c r="P326" s="5"/>
    </row>
    <row r="327" ht="54.75" hidden="1" customHeight="1" outlineLevel="1" spans="2:16">
      <c r="B327" s="106" t="s">
        <v>707</v>
      </c>
      <c r="C327" s="47"/>
      <c r="D327" s="47"/>
      <c r="E327" s="47"/>
      <c r="F327" s="47"/>
      <c r="G327" s="47" t="s">
        <v>708</v>
      </c>
      <c r="H327" s="61" t="s">
        <v>532</v>
      </c>
      <c r="I327" s="103" t="s">
        <v>421</v>
      </c>
      <c r="J327" s="103">
        <v>1</v>
      </c>
      <c r="K327" s="104">
        <v>0.25</v>
      </c>
      <c r="L327" s="103"/>
      <c r="M327" s="103"/>
      <c r="N327" s="113">
        <v>0.25</v>
      </c>
      <c r="O327" s="103"/>
      <c r="P327" s="5"/>
    </row>
    <row r="328" ht="18" customHeight="1" collapsed="1" spans="2:16">
      <c r="B328" s="46">
        <v>46</v>
      </c>
      <c r="C328" s="100" t="s">
        <v>53</v>
      </c>
      <c r="D328" s="100" t="s">
        <v>53</v>
      </c>
      <c r="E328" s="100" t="s">
        <v>403</v>
      </c>
      <c r="F328" s="100" t="s">
        <v>660</v>
      </c>
      <c r="G328" s="100" t="s">
        <v>709</v>
      </c>
      <c r="H328" s="100" t="s">
        <v>534</v>
      </c>
      <c r="I328" s="99" t="s">
        <v>409</v>
      </c>
      <c r="J328" s="99">
        <v>1</v>
      </c>
      <c r="K328" s="101">
        <f>SUMIF(I329:I335,"站",K329:K335)</f>
        <v>74.25</v>
      </c>
      <c r="L328" s="99" t="s">
        <v>46</v>
      </c>
      <c r="M328" s="99" t="s">
        <v>46</v>
      </c>
      <c r="N328" s="101">
        <f>SUMIF(I329:I335,"站",N329:N335)</f>
        <v>74.25</v>
      </c>
      <c r="O328" s="99" t="s">
        <v>46</v>
      </c>
      <c r="P328" s="102"/>
    </row>
    <row r="329" ht="27.75" hidden="1" customHeight="1" outlineLevel="1" spans="2:16">
      <c r="B329" s="106" t="s">
        <v>710</v>
      </c>
      <c r="C329" s="47"/>
      <c r="D329" s="47"/>
      <c r="E329" s="47"/>
      <c r="F329" s="47"/>
      <c r="G329" s="47" t="s">
        <v>536</v>
      </c>
      <c r="H329" s="61" t="s">
        <v>537</v>
      </c>
      <c r="I329" s="46" t="s">
        <v>409</v>
      </c>
      <c r="J329" s="46">
        <v>1</v>
      </c>
      <c r="K329" s="98">
        <v>0.25</v>
      </c>
      <c r="L329" s="46"/>
      <c r="M329" s="46"/>
      <c r="N329" s="113">
        <v>0.25</v>
      </c>
      <c r="O329" s="46"/>
      <c r="P329" s="5"/>
    </row>
    <row r="330" ht="176.25" hidden="1" customHeight="1" outlineLevel="1" spans="2:16">
      <c r="B330" s="106" t="s">
        <v>711</v>
      </c>
      <c r="C330" s="47"/>
      <c r="D330" s="47"/>
      <c r="E330" s="47"/>
      <c r="F330" s="47"/>
      <c r="G330" s="47" t="s">
        <v>539</v>
      </c>
      <c r="H330" s="61" t="s">
        <v>540</v>
      </c>
      <c r="I330" s="46" t="s">
        <v>409</v>
      </c>
      <c r="J330" s="46">
        <v>1</v>
      </c>
      <c r="K330" s="98">
        <v>1.5</v>
      </c>
      <c r="L330" s="46"/>
      <c r="M330" s="46"/>
      <c r="N330" s="113">
        <v>1.5</v>
      </c>
      <c r="O330" s="46"/>
      <c r="P330" s="5"/>
    </row>
    <row r="331" ht="81.75" hidden="1" customHeight="1" outlineLevel="1" spans="2:16">
      <c r="B331" s="106" t="s">
        <v>712</v>
      </c>
      <c r="C331" s="47"/>
      <c r="D331" s="47"/>
      <c r="E331" s="47"/>
      <c r="F331" s="47"/>
      <c r="G331" s="47" t="s">
        <v>542</v>
      </c>
      <c r="H331" s="61" t="s">
        <v>543</v>
      </c>
      <c r="I331" s="46" t="s">
        <v>58</v>
      </c>
      <c r="J331" s="46">
        <v>1</v>
      </c>
      <c r="K331" s="98">
        <v>1</v>
      </c>
      <c r="L331" s="46"/>
      <c r="M331" s="46"/>
      <c r="N331" s="113">
        <v>1</v>
      </c>
      <c r="O331" s="46"/>
      <c r="P331" s="5"/>
    </row>
    <row r="332" ht="122.25" hidden="1" customHeight="1" outlineLevel="1" spans="2:16">
      <c r="B332" s="106" t="s">
        <v>713</v>
      </c>
      <c r="C332" s="47"/>
      <c r="D332" s="47"/>
      <c r="E332" s="47"/>
      <c r="F332" s="47"/>
      <c r="G332" s="47" t="s">
        <v>545</v>
      </c>
      <c r="H332" s="61" t="s">
        <v>714</v>
      </c>
      <c r="I332" s="46" t="s">
        <v>58</v>
      </c>
      <c r="J332" s="46">
        <v>1</v>
      </c>
      <c r="K332" s="98">
        <v>1</v>
      </c>
      <c r="L332" s="46"/>
      <c r="M332" s="46"/>
      <c r="N332" s="113">
        <v>1</v>
      </c>
      <c r="O332" s="46"/>
      <c r="P332" s="5"/>
    </row>
    <row r="333" ht="54.75" hidden="1" customHeight="1" outlineLevel="1" spans="2:16">
      <c r="B333" s="106" t="s">
        <v>715</v>
      </c>
      <c r="C333" s="47"/>
      <c r="D333" s="47"/>
      <c r="E333" s="47"/>
      <c r="F333" s="47"/>
      <c r="G333" s="47" t="s">
        <v>548</v>
      </c>
      <c r="H333" s="61" t="s">
        <v>549</v>
      </c>
      <c r="I333" s="46" t="s">
        <v>409</v>
      </c>
      <c r="J333" s="46">
        <v>1</v>
      </c>
      <c r="K333" s="98">
        <v>0.166666666666667</v>
      </c>
      <c r="L333" s="46"/>
      <c r="M333" s="46"/>
      <c r="N333" s="113">
        <v>0.166666666666667</v>
      </c>
      <c r="O333" s="46"/>
      <c r="P333" s="5"/>
    </row>
    <row r="334" ht="41.25" hidden="1" customHeight="1" outlineLevel="1" spans="2:16">
      <c r="B334" s="106" t="s">
        <v>716</v>
      </c>
      <c r="C334" s="47"/>
      <c r="D334" s="47"/>
      <c r="E334" s="47"/>
      <c r="F334" s="47"/>
      <c r="G334" s="47" t="s">
        <v>551</v>
      </c>
      <c r="H334" s="61" t="s">
        <v>552</v>
      </c>
      <c r="I334" s="46" t="s">
        <v>409</v>
      </c>
      <c r="J334" s="46">
        <v>1</v>
      </c>
      <c r="K334" s="98">
        <v>0.333333333333333</v>
      </c>
      <c r="L334" s="46"/>
      <c r="M334" s="46"/>
      <c r="N334" s="113">
        <v>0.333333333333333</v>
      </c>
      <c r="O334" s="46"/>
      <c r="P334" s="5"/>
    </row>
    <row r="335" ht="54.75" hidden="1" customHeight="1" outlineLevel="1" spans="2:16">
      <c r="B335" s="106" t="s">
        <v>717</v>
      </c>
      <c r="C335" s="47"/>
      <c r="D335" s="47"/>
      <c r="E335" s="47"/>
      <c r="F335" s="47"/>
      <c r="G335" s="47" t="s">
        <v>554</v>
      </c>
      <c r="H335" s="61" t="s">
        <v>555</v>
      </c>
      <c r="I335" s="46" t="s">
        <v>409</v>
      </c>
      <c r="J335" s="46">
        <v>1</v>
      </c>
      <c r="K335" s="98">
        <v>72</v>
      </c>
      <c r="L335" s="46"/>
      <c r="M335" s="46"/>
      <c r="N335" s="113">
        <v>72</v>
      </c>
      <c r="O335" s="46"/>
      <c r="P335" s="5"/>
    </row>
    <row r="336" ht="18" customHeight="1" collapsed="1" spans="2:16">
      <c r="B336" s="46">
        <v>47</v>
      </c>
      <c r="C336" s="100" t="s">
        <v>53</v>
      </c>
      <c r="D336" s="100" t="s">
        <v>53</v>
      </c>
      <c r="E336" s="100" t="s">
        <v>403</v>
      </c>
      <c r="F336" s="100" t="s">
        <v>718</v>
      </c>
      <c r="G336" s="100" t="s">
        <v>719</v>
      </c>
      <c r="H336" s="100" t="s">
        <v>661</v>
      </c>
      <c r="I336" s="99" t="s">
        <v>413</v>
      </c>
      <c r="J336" s="99">
        <v>1</v>
      </c>
      <c r="K336" s="101">
        <f>(K337+K338+K339+K341+K343)/7.5+(K340+K342+K344+K345)/15</f>
        <v>0.672222222222222</v>
      </c>
      <c r="L336" s="99" t="s">
        <v>46</v>
      </c>
      <c r="M336" s="99" t="s">
        <v>46</v>
      </c>
      <c r="N336" s="101">
        <f>(N337+N338+N339+N341+N343)/7.5+(N340+N342+N344+N345)/15</f>
        <v>0.883111111111111</v>
      </c>
      <c r="O336" s="99" t="s">
        <v>46</v>
      </c>
      <c r="P336" s="102"/>
    </row>
    <row r="337" hidden="1" customHeight="1" outlineLevel="1" spans="2:16">
      <c r="B337" s="103">
        <v>47.1</v>
      </c>
      <c r="C337" s="47"/>
      <c r="D337" s="47"/>
      <c r="E337" s="47"/>
      <c r="F337" s="47"/>
      <c r="G337" s="47" t="s">
        <v>662</v>
      </c>
      <c r="H337" s="47" t="s">
        <v>415</v>
      </c>
      <c r="I337" s="46" t="s">
        <v>58</v>
      </c>
      <c r="J337" s="46">
        <v>1</v>
      </c>
      <c r="K337" s="98">
        <v>0.0833333333333333</v>
      </c>
      <c r="L337" s="46"/>
      <c r="M337" s="46"/>
      <c r="N337" s="98">
        <v>0.0833333333333333</v>
      </c>
      <c r="O337" s="46"/>
      <c r="P337" s="5"/>
    </row>
    <row r="338" hidden="1" customHeight="1" outlineLevel="1" spans="2:16">
      <c r="B338" s="103">
        <v>47.2</v>
      </c>
      <c r="C338" s="47"/>
      <c r="D338" s="47"/>
      <c r="E338" s="47"/>
      <c r="F338" s="47"/>
      <c r="G338" s="47" t="s">
        <v>663</v>
      </c>
      <c r="H338" s="47" t="s">
        <v>417</v>
      </c>
      <c r="I338" s="46" t="s">
        <v>418</v>
      </c>
      <c r="J338" s="46">
        <v>1</v>
      </c>
      <c r="K338" s="98">
        <v>0.5</v>
      </c>
      <c r="L338" s="46"/>
      <c r="M338" s="46"/>
      <c r="N338" s="98">
        <v>0.5</v>
      </c>
      <c r="O338" s="46"/>
      <c r="P338" s="5"/>
    </row>
    <row r="339" hidden="1" customHeight="1" outlineLevel="1" spans="2:16">
      <c r="B339" s="103">
        <v>47.3</v>
      </c>
      <c r="C339" s="47"/>
      <c r="D339" s="47"/>
      <c r="E339" s="47"/>
      <c r="F339" s="47"/>
      <c r="G339" s="47" t="s">
        <v>414</v>
      </c>
      <c r="H339" s="47" t="s">
        <v>420</v>
      </c>
      <c r="I339" s="46" t="s">
        <v>58</v>
      </c>
      <c r="J339" s="46">
        <v>1</v>
      </c>
      <c r="K339" s="98">
        <v>1</v>
      </c>
      <c r="L339" s="46"/>
      <c r="M339" s="46"/>
      <c r="N339" s="98">
        <v>1.5</v>
      </c>
      <c r="O339" s="46"/>
      <c r="P339" s="5"/>
    </row>
    <row r="340" hidden="1" customHeight="1" outlineLevel="1" spans="2:16">
      <c r="B340" s="103">
        <v>47.4</v>
      </c>
      <c r="C340" s="47"/>
      <c r="D340" s="47"/>
      <c r="E340" s="47"/>
      <c r="F340" s="47"/>
      <c r="G340" s="47" t="s">
        <v>416</v>
      </c>
      <c r="H340" s="47" t="s">
        <v>420</v>
      </c>
      <c r="I340" s="46" t="s">
        <v>421</v>
      </c>
      <c r="J340" s="46">
        <v>1</v>
      </c>
      <c r="K340" s="98">
        <v>1</v>
      </c>
      <c r="L340" s="46"/>
      <c r="M340" s="46"/>
      <c r="N340" s="98">
        <v>1.5</v>
      </c>
      <c r="O340" s="46"/>
      <c r="P340" s="5"/>
    </row>
    <row r="341" hidden="1" customHeight="1" outlineLevel="1" spans="2:16">
      <c r="B341" s="103">
        <v>47.5</v>
      </c>
      <c r="C341" s="47"/>
      <c r="D341" s="47"/>
      <c r="E341" s="47"/>
      <c r="F341" s="47"/>
      <c r="G341" s="47" t="s">
        <v>419</v>
      </c>
      <c r="H341" s="47" t="s">
        <v>423</v>
      </c>
      <c r="I341" s="46" t="s">
        <v>58</v>
      </c>
      <c r="J341" s="46">
        <v>1</v>
      </c>
      <c r="K341" s="98">
        <v>0.333333333333333</v>
      </c>
      <c r="L341" s="46"/>
      <c r="M341" s="46"/>
      <c r="N341" s="98">
        <v>0.75</v>
      </c>
      <c r="O341" s="46"/>
      <c r="P341" s="5"/>
    </row>
    <row r="342" hidden="1" customHeight="1" outlineLevel="1" spans="2:16">
      <c r="B342" s="103">
        <v>47.6</v>
      </c>
      <c r="C342" s="47"/>
      <c r="D342" s="47"/>
      <c r="E342" s="47"/>
      <c r="F342" s="47"/>
      <c r="G342" s="47" t="s">
        <v>419</v>
      </c>
      <c r="H342" s="47" t="s">
        <v>425</v>
      </c>
      <c r="I342" s="46" t="s">
        <v>421</v>
      </c>
      <c r="J342" s="46">
        <v>1</v>
      </c>
      <c r="K342" s="98">
        <v>0.25</v>
      </c>
      <c r="L342" s="46"/>
      <c r="M342" s="46"/>
      <c r="N342" s="98">
        <v>0.33</v>
      </c>
      <c r="O342" s="46"/>
      <c r="P342" s="5"/>
    </row>
    <row r="343" hidden="1" customHeight="1" outlineLevel="1" spans="2:16">
      <c r="B343" s="103">
        <v>47.7</v>
      </c>
      <c r="C343" s="47"/>
      <c r="D343" s="47"/>
      <c r="E343" s="47"/>
      <c r="F343" s="47"/>
      <c r="G343" s="47" t="s">
        <v>422</v>
      </c>
      <c r="H343" s="47" t="s">
        <v>422</v>
      </c>
      <c r="I343" s="46" t="s">
        <v>58</v>
      </c>
      <c r="J343" s="46">
        <v>1</v>
      </c>
      <c r="K343" s="98">
        <v>1</v>
      </c>
      <c r="L343" s="46"/>
      <c r="M343" s="46"/>
      <c r="N343" s="98">
        <v>1.25</v>
      </c>
      <c r="O343" s="46"/>
      <c r="P343" s="5"/>
    </row>
    <row r="344" hidden="1" customHeight="1" outlineLevel="1" spans="2:16">
      <c r="B344" s="103">
        <v>47.8</v>
      </c>
      <c r="C344" s="47"/>
      <c r="D344" s="47"/>
      <c r="E344" s="47"/>
      <c r="F344" s="47"/>
      <c r="G344" s="47" t="s">
        <v>424</v>
      </c>
      <c r="H344" s="47" t="s">
        <v>424</v>
      </c>
      <c r="I344" s="46" t="s">
        <v>421</v>
      </c>
      <c r="J344" s="46">
        <v>1</v>
      </c>
      <c r="K344" s="98">
        <v>2.5</v>
      </c>
      <c r="L344" s="46"/>
      <c r="M344" s="46"/>
      <c r="N344" s="98">
        <v>2.75</v>
      </c>
      <c r="O344" s="46"/>
      <c r="P344" s="5"/>
    </row>
    <row r="345" hidden="1" customHeight="1" outlineLevel="1" spans="2:16">
      <c r="B345" s="103">
        <v>47.9</v>
      </c>
      <c r="C345" s="47"/>
      <c r="D345" s="47"/>
      <c r="E345" s="47"/>
      <c r="F345" s="47"/>
      <c r="G345" s="47" t="s">
        <v>426</v>
      </c>
      <c r="H345" s="47" t="s">
        <v>427</v>
      </c>
      <c r="I345" s="46" t="s">
        <v>409</v>
      </c>
      <c r="J345" s="46">
        <v>1</v>
      </c>
      <c r="K345" s="98">
        <v>0.5</v>
      </c>
      <c r="L345" s="46"/>
      <c r="M345" s="46"/>
      <c r="N345" s="98">
        <v>0.5</v>
      </c>
      <c r="O345" s="46"/>
      <c r="P345" s="5"/>
    </row>
    <row r="346" ht="18" customHeight="1" collapsed="1" spans="2:16">
      <c r="B346" s="46">
        <v>48</v>
      </c>
      <c r="C346" s="100" t="s">
        <v>53</v>
      </c>
      <c r="D346" s="100" t="s">
        <v>53</v>
      </c>
      <c r="E346" s="100" t="s">
        <v>403</v>
      </c>
      <c r="F346" s="100" t="s">
        <v>718</v>
      </c>
      <c r="G346" s="100" t="s">
        <v>720</v>
      </c>
      <c r="H346" s="100" t="s">
        <v>721</v>
      </c>
      <c r="I346" s="99" t="s">
        <v>722</v>
      </c>
      <c r="J346" s="99">
        <v>1</v>
      </c>
      <c r="K346" s="101">
        <f>K347+K348/72+K349+K350+K351+K352+K353/72</f>
        <v>0.849305555555556</v>
      </c>
      <c r="L346" s="99" t="s">
        <v>46</v>
      </c>
      <c r="M346" s="99" t="s">
        <v>46</v>
      </c>
      <c r="N346" s="101">
        <f>N347+N348/72+N349+N350+N351+N352+N353/72</f>
        <v>1.07736111111111</v>
      </c>
      <c r="O346" s="99" t="s">
        <v>46</v>
      </c>
      <c r="P346" s="102" t="s">
        <v>723</v>
      </c>
    </row>
    <row r="347" ht="54.75" hidden="1" customHeight="1" outlineLevel="1" spans="2:16">
      <c r="B347" s="103">
        <v>48.1</v>
      </c>
      <c r="C347" s="47"/>
      <c r="D347" s="47"/>
      <c r="E347" s="47"/>
      <c r="F347" s="47"/>
      <c r="G347" s="47" t="s">
        <v>724</v>
      </c>
      <c r="H347" s="61" t="s">
        <v>725</v>
      </c>
      <c r="I347" s="46" t="s">
        <v>726</v>
      </c>
      <c r="J347" s="46">
        <v>1</v>
      </c>
      <c r="K347" s="98">
        <v>0.1</v>
      </c>
      <c r="L347" s="46"/>
      <c r="M347" s="46"/>
      <c r="N347" s="98">
        <v>0.133333333333333</v>
      </c>
      <c r="O347" s="46"/>
      <c r="P347" s="5" t="s">
        <v>727</v>
      </c>
    </row>
    <row r="348" ht="41.25" hidden="1" customHeight="1" outlineLevel="1" spans="2:16">
      <c r="B348" s="103">
        <v>48.2</v>
      </c>
      <c r="C348" s="47"/>
      <c r="D348" s="47"/>
      <c r="E348" s="47"/>
      <c r="F348" s="47"/>
      <c r="G348" s="47" t="s">
        <v>728</v>
      </c>
      <c r="H348" s="61" t="s">
        <v>729</v>
      </c>
      <c r="I348" s="46" t="s">
        <v>58</v>
      </c>
      <c r="J348" s="46">
        <v>1</v>
      </c>
      <c r="K348" s="98">
        <v>1.33</v>
      </c>
      <c r="L348" s="46"/>
      <c r="M348" s="46"/>
      <c r="N348" s="98">
        <v>1.67</v>
      </c>
      <c r="O348" s="46"/>
      <c r="P348" s="5" t="s">
        <v>730</v>
      </c>
    </row>
    <row r="349" ht="81.75" hidden="1" customHeight="1" outlineLevel="1" spans="2:16">
      <c r="B349" s="103">
        <v>48.3</v>
      </c>
      <c r="C349" s="47"/>
      <c r="D349" s="47"/>
      <c r="E349" s="47"/>
      <c r="F349" s="47"/>
      <c r="G349" s="47" t="s">
        <v>731</v>
      </c>
      <c r="H349" s="61" t="s">
        <v>732</v>
      </c>
      <c r="I349" s="46" t="s">
        <v>726</v>
      </c>
      <c r="J349" s="46">
        <v>1</v>
      </c>
      <c r="K349" s="98">
        <v>0.17</v>
      </c>
      <c r="L349" s="46"/>
      <c r="M349" s="46"/>
      <c r="N349" s="98">
        <v>0.2</v>
      </c>
      <c r="O349" s="46"/>
      <c r="P349" s="5" t="s">
        <v>733</v>
      </c>
    </row>
    <row r="350" hidden="1" customHeight="1" outlineLevel="1" spans="2:16">
      <c r="B350" s="103">
        <v>48.4</v>
      </c>
      <c r="C350" s="47"/>
      <c r="D350" s="47"/>
      <c r="E350" s="47"/>
      <c r="F350" s="47"/>
      <c r="G350" s="47" t="s">
        <v>734</v>
      </c>
      <c r="H350" s="47" t="s">
        <v>735</v>
      </c>
      <c r="I350" s="46" t="s">
        <v>418</v>
      </c>
      <c r="J350" s="46">
        <v>1</v>
      </c>
      <c r="K350" s="98">
        <v>0.17</v>
      </c>
      <c r="L350" s="46"/>
      <c r="M350" s="46"/>
      <c r="N350" s="98">
        <v>0.2</v>
      </c>
      <c r="O350" s="46"/>
      <c r="P350" s="5" t="s">
        <v>733</v>
      </c>
    </row>
    <row r="351" hidden="1" customHeight="1" outlineLevel="1" spans="2:16">
      <c r="B351" s="103">
        <v>48.5</v>
      </c>
      <c r="C351" s="47"/>
      <c r="D351" s="47"/>
      <c r="E351" s="47"/>
      <c r="F351" s="47"/>
      <c r="G351" s="47" t="s">
        <v>736</v>
      </c>
      <c r="H351" s="47" t="s">
        <v>737</v>
      </c>
      <c r="I351" s="46" t="s">
        <v>418</v>
      </c>
      <c r="J351" s="46">
        <v>1</v>
      </c>
      <c r="K351" s="98">
        <v>0.3</v>
      </c>
      <c r="L351" s="46"/>
      <c r="M351" s="46"/>
      <c r="N351" s="98">
        <v>0.399999999999999</v>
      </c>
      <c r="O351" s="46"/>
      <c r="P351" s="5" t="s">
        <v>733</v>
      </c>
    </row>
    <row r="352" ht="68.25" hidden="1" customHeight="1" outlineLevel="1" spans="2:16">
      <c r="B352" s="103">
        <v>48.6</v>
      </c>
      <c r="C352" s="47"/>
      <c r="D352" s="47"/>
      <c r="E352" s="47"/>
      <c r="F352" s="47"/>
      <c r="G352" s="47" t="s">
        <v>738</v>
      </c>
      <c r="H352" s="61" t="s">
        <v>739</v>
      </c>
      <c r="I352" s="46" t="s">
        <v>418</v>
      </c>
      <c r="J352" s="46">
        <v>1</v>
      </c>
      <c r="K352" s="98">
        <v>0.07</v>
      </c>
      <c r="L352" s="46"/>
      <c r="M352" s="46"/>
      <c r="N352" s="98">
        <v>0.1</v>
      </c>
      <c r="O352" s="46"/>
      <c r="P352" s="5" t="s">
        <v>733</v>
      </c>
    </row>
    <row r="353" ht="108.75" hidden="1" customHeight="1" outlineLevel="1" spans="2:16">
      <c r="B353" s="103">
        <v>48.7</v>
      </c>
      <c r="C353" s="47"/>
      <c r="D353" s="47"/>
      <c r="E353" s="47"/>
      <c r="F353" s="47"/>
      <c r="G353" s="47" t="s">
        <v>740</v>
      </c>
      <c r="H353" s="61" t="s">
        <v>741</v>
      </c>
      <c r="I353" s="46" t="s">
        <v>58</v>
      </c>
      <c r="J353" s="46">
        <v>1</v>
      </c>
      <c r="K353" s="98">
        <v>1.5</v>
      </c>
      <c r="L353" s="46"/>
      <c r="M353" s="46"/>
      <c r="N353" s="98">
        <v>1.5</v>
      </c>
      <c r="O353" s="46"/>
      <c r="P353" s="5" t="s">
        <v>742</v>
      </c>
    </row>
    <row r="354" ht="18" customHeight="1" collapsed="1" spans="2:16">
      <c r="B354" s="46">
        <v>49</v>
      </c>
      <c r="C354" s="100" t="s">
        <v>53</v>
      </c>
      <c r="D354" s="100" t="s">
        <v>53</v>
      </c>
      <c r="E354" s="100" t="s">
        <v>403</v>
      </c>
      <c r="F354" s="100" t="s">
        <v>718</v>
      </c>
      <c r="G354" s="100" t="s">
        <v>743</v>
      </c>
      <c r="H354" s="100" t="s">
        <v>429</v>
      </c>
      <c r="I354" s="99" t="s">
        <v>413</v>
      </c>
      <c r="J354" s="99">
        <v>1</v>
      </c>
      <c r="K354" s="101">
        <f>SUM(K355:K368)/7.5</f>
        <v>0.455555555555556</v>
      </c>
      <c r="L354" s="99" t="s">
        <v>46</v>
      </c>
      <c r="M354" s="99" t="s">
        <v>46</v>
      </c>
      <c r="N354" s="101">
        <f>SUM(N355:N368)/7.5</f>
        <v>0.613333333333333</v>
      </c>
      <c r="O354" s="99" t="s">
        <v>46</v>
      </c>
      <c r="P354" s="102"/>
    </row>
    <row r="355" hidden="1" customHeight="1" outlineLevel="1" spans="2:16">
      <c r="B355" s="106" t="s">
        <v>744</v>
      </c>
      <c r="C355" s="47"/>
      <c r="D355" s="47"/>
      <c r="E355" s="47"/>
      <c r="F355" s="47"/>
      <c r="G355" s="47" t="s">
        <v>431</v>
      </c>
      <c r="H355" s="47" t="s">
        <v>432</v>
      </c>
      <c r="I355" s="46" t="s">
        <v>58</v>
      </c>
      <c r="J355" s="46">
        <v>1</v>
      </c>
      <c r="K355" s="98">
        <v>0.0833333333333333</v>
      </c>
      <c r="L355" s="46"/>
      <c r="M355" s="46"/>
      <c r="N355" s="98">
        <v>0.0833333333333333</v>
      </c>
      <c r="O355" s="46"/>
      <c r="P355" s="5"/>
    </row>
    <row r="356" ht="27.75" hidden="1" customHeight="1" outlineLevel="1" spans="2:16">
      <c r="B356" s="106" t="s">
        <v>745</v>
      </c>
      <c r="C356" s="47"/>
      <c r="D356" s="47"/>
      <c r="E356" s="47"/>
      <c r="F356" s="47"/>
      <c r="G356" s="47" t="s">
        <v>434</v>
      </c>
      <c r="H356" s="61" t="s">
        <v>435</v>
      </c>
      <c r="I356" s="46" t="s">
        <v>58</v>
      </c>
      <c r="J356" s="46">
        <v>1</v>
      </c>
      <c r="K356" s="98">
        <v>0.166666666666667</v>
      </c>
      <c r="L356" s="46"/>
      <c r="M356" s="46"/>
      <c r="N356" s="98">
        <v>0.25</v>
      </c>
      <c r="O356" s="46"/>
      <c r="P356" s="5"/>
    </row>
    <row r="357" ht="54.75" hidden="1" customHeight="1" outlineLevel="1" spans="2:16">
      <c r="B357" s="106" t="s">
        <v>746</v>
      </c>
      <c r="C357" s="47"/>
      <c r="D357" s="47"/>
      <c r="E357" s="47"/>
      <c r="F357" s="47"/>
      <c r="G357" s="47" t="s">
        <v>437</v>
      </c>
      <c r="H357" s="61" t="s">
        <v>438</v>
      </c>
      <c r="I357" s="46" t="s">
        <v>58</v>
      </c>
      <c r="J357" s="46">
        <v>1</v>
      </c>
      <c r="K357" s="98">
        <v>0.0833333333333333</v>
      </c>
      <c r="L357" s="46"/>
      <c r="M357" s="46"/>
      <c r="N357" s="98">
        <v>0.0833333333333333</v>
      </c>
      <c r="O357" s="46"/>
      <c r="P357" s="5"/>
    </row>
    <row r="358" ht="41.25" hidden="1" customHeight="1" outlineLevel="1" spans="2:16">
      <c r="B358" s="106" t="s">
        <v>747</v>
      </c>
      <c r="C358" s="47"/>
      <c r="D358" s="47"/>
      <c r="E358" s="47"/>
      <c r="F358" s="47"/>
      <c r="G358" s="47" t="s">
        <v>440</v>
      </c>
      <c r="H358" s="61" t="s">
        <v>441</v>
      </c>
      <c r="I358" s="46" t="s">
        <v>58</v>
      </c>
      <c r="J358" s="46">
        <v>1</v>
      </c>
      <c r="K358" s="98">
        <v>0.333333333333333</v>
      </c>
      <c r="L358" s="46"/>
      <c r="M358" s="46"/>
      <c r="N358" s="98">
        <v>0.5</v>
      </c>
      <c r="O358" s="46"/>
      <c r="P358" s="5"/>
    </row>
    <row r="359" ht="81.75" hidden="1" customHeight="1" outlineLevel="1" spans="2:16">
      <c r="B359" s="106" t="s">
        <v>748</v>
      </c>
      <c r="C359" s="47"/>
      <c r="D359" s="47"/>
      <c r="E359" s="47"/>
      <c r="F359" s="47"/>
      <c r="G359" s="47" t="s">
        <v>443</v>
      </c>
      <c r="H359" s="61" t="s">
        <v>444</v>
      </c>
      <c r="I359" s="46" t="s">
        <v>58</v>
      </c>
      <c r="J359" s="46">
        <v>1</v>
      </c>
      <c r="K359" s="98">
        <v>0.5</v>
      </c>
      <c r="L359" s="46"/>
      <c r="M359" s="46"/>
      <c r="N359" s="98">
        <v>0.5</v>
      </c>
      <c r="O359" s="46"/>
      <c r="P359" s="5"/>
    </row>
    <row r="360" ht="95.25" hidden="1" customHeight="1" outlineLevel="1" spans="2:16">
      <c r="B360" s="106" t="s">
        <v>749</v>
      </c>
      <c r="C360" s="47"/>
      <c r="D360" s="47"/>
      <c r="E360" s="47"/>
      <c r="F360" s="47"/>
      <c r="G360" s="47" t="s">
        <v>446</v>
      </c>
      <c r="H360" s="61" t="s">
        <v>447</v>
      </c>
      <c r="I360" s="46" t="s">
        <v>58</v>
      </c>
      <c r="J360" s="46">
        <v>1</v>
      </c>
      <c r="K360" s="98">
        <v>0.166666666666667</v>
      </c>
      <c r="L360" s="46"/>
      <c r="M360" s="46"/>
      <c r="N360" s="98">
        <v>0.166666666666667</v>
      </c>
      <c r="O360" s="46"/>
      <c r="P360" s="5"/>
    </row>
    <row r="361" ht="27.75" hidden="1" customHeight="1" outlineLevel="1" spans="2:16">
      <c r="B361" s="106" t="s">
        <v>750</v>
      </c>
      <c r="C361" s="47"/>
      <c r="D361" s="47"/>
      <c r="E361" s="47"/>
      <c r="F361" s="47"/>
      <c r="G361" s="47" t="s">
        <v>449</v>
      </c>
      <c r="H361" s="61" t="s">
        <v>450</v>
      </c>
      <c r="I361" s="46" t="s">
        <v>58</v>
      </c>
      <c r="J361" s="46">
        <v>1</v>
      </c>
      <c r="K361" s="98">
        <v>0.333333333333334</v>
      </c>
      <c r="L361" s="46"/>
      <c r="M361" s="46"/>
      <c r="N361" s="98">
        <v>0.6</v>
      </c>
      <c r="O361" s="46"/>
      <c r="P361" s="5"/>
    </row>
    <row r="362" ht="108.75" hidden="1" customHeight="1" outlineLevel="1" spans="2:16">
      <c r="B362" s="106" t="s">
        <v>751</v>
      </c>
      <c r="C362" s="47"/>
      <c r="D362" s="47"/>
      <c r="E362" s="47"/>
      <c r="F362" s="47"/>
      <c r="G362" s="47" t="s">
        <v>452</v>
      </c>
      <c r="H362" s="61" t="s">
        <v>453</v>
      </c>
      <c r="I362" s="46" t="s">
        <v>58</v>
      </c>
      <c r="J362" s="46">
        <v>1</v>
      </c>
      <c r="K362" s="98">
        <v>0.333333333333333</v>
      </c>
      <c r="L362" s="46"/>
      <c r="M362" s="46"/>
      <c r="N362" s="98">
        <v>0.5</v>
      </c>
      <c r="O362" s="46"/>
      <c r="P362" s="5"/>
    </row>
    <row r="363" ht="54.75" hidden="1" customHeight="1" outlineLevel="1" spans="2:16">
      <c r="B363" s="106" t="s">
        <v>752</v>
      </c>
      <c r="C363" s="47"/>
      <c r="D363" s="47"/>
      <c r="E363" s="47"/>
      <c r="F363" s="47"/>
      <c r="G363" s="47" t="s">
        <v>455</v>
      </c>
      <c r="H363" s="61" t="s">
        <v>456</v>
      </c>
      <c r="I363" s="46" t="s">
        <v>421</v>
      </c>
      <c r="J363" s="46">
        <v>1</v>
      </c>
      <c r="K363" s="98">
        <v>0.333333333333334</v>
      </c>
      <c r="L363" s="46"/>
      <c r="M363" s="46"/>
      <c r="N363" s="98">
        <v>0.333333333333334</v>
      </c>
      <c r="O363" s="46"/>
      <c r="P363" s="5"/>
    </row>
    <row r="364" ht="27.75" hidden="1" customHeight="1" outlineLevel="1" spans="2:16">
      <c r="B364" s="106" t="s">
        <v>753</v>
      </c>
      <c r="C364" s="47"/>
      <c r="D364" s="47"/>
      <c r="E364" s="47"/>
      <c r="F364" s="47"/>
      <c r="G364" s="47" t="s">
        <v>458</v>
      </c>
      <c r="H364" s="61" t="s">
        <v>459</v>
      </c>
      <c r="I364" s="46" t="s">
        <v>421</v>
      </c>
      <c r="J364" s="46">
        <v>1</v>
      </c>
      <c r="K364" s="98">
        <v>0.0833333333333333</v>
      </c>
      <c r="L364" s="46"/>
      <c r="M364" s="46"/>
      <c r="N364" s="98">
        <v>0.0833333333333333</v>
      </c>
      <c r="O364" s="46"/>
      <c r="P364" s="5"/>
    </row>
    <row r="365" ht="95.25" hidden="1" customHeight="1" outlineLevel="1" spans="2:16">
      <c r="B365" s="106" t="s">
        <v>754</v>
      </c>
      <c r="C365" s="47"/>
      <c r="D365" s="47"/>
      <c r="E365" s="47"/>
      <c r="F365" s="47"/>
      <c r="G365" s="47" t="s">
        <v>461</v>
      </c>
      <c r="H365" s="61" t="s">
        <v>462</v>
      </c>
      <c r="I365" s="46" t="s">
        <v>421</v>
      </c>
      <c r="J365" s="46">
        <v>1</v>
      </c>
      <c r="K365" s="98">
        <v>0.666666666666666</v>
      </c>
      <c r="L365" s="46"/>
      <c r="M365" s="46"/>
      <c r="N365" s="98">
        <v>0.666666666666666</v>
      </c>
      <c r="O365" s="46"/>
      <c r="P365" s="5"/>
    </row>
    <row r="366" ht="27.75" hidden="1" customHeight="1" outlineLevel="1" spans="2:16">
      <c r="B366" s="106" t="s">
        <v>755</v>
      </c>
      <c r="C366" s="47"/>
      <c r="D366" s="47"/>
      <c r="E366" s="47"/>
      <c r="F366" s="47"/>
      <c r="G366" s="47" t="s">
        <v>464</v>
      </c>
      <c r="H366" s="61" t="s">
        <v>465</v>
      </c>
      <c r="I366" s="46" t="s">
        <v>421</v>
      </c>
      <c r="J366" s="46">
        <v>1</v>
      </c>
      <c r="K366" s="98">
        <v>0.333333333333333</v>
      </c>
      <c r="L366" s="46"/>
      <c r="M366" s="46"/>
      <c r="N366" s="98">
        <v>0.333333333333333</v>
      </c>
      <c r="O366" s="46"/>
      <c r="P366" s="5"/>
    </row>
    <row r="367" ht="203.25" hidden="1" customHeight="1" outlineLevel="1" spans="2:16">
      <c r="B367" s="106" t="s">
        <v>756</v>
      </c>
      <c r="C367" s="47"/>
      <c r="D367" s="47"/>
      <c r="E367" s="47"/>
      <c r="F367" s="47"/>
      <c r="G367" s="47" t="s">
        <v>467</v>
      </c>
      <c r="H367" s="61" t="s">
        <v>468</v>
      </c>
      <c r="I367" s="46" t="s">
        <v>421</v>
      </c>
      <c r="J367" s="46">
        <v>1</v>
      </c>
      <c r="K367" s="98">
        <v>0</v>
      </c>
      <c r="L367" s="46"/>
      <c r="M367" s="46"/>
      <c r="N367" s="98">
        <v>0</v>
      </c>
      <c r="O367" s="46"/>
      <c r="P367" s="5"/>
    </row>
    <row r="368" ht="311.25" hidden="1" customHeight="1" outlineLevel="1" spans="2:16">
      <c r="B368" s="106" t="s">
        <v>757</v>
      </c>
      <c r="C368" s="47"/>
      <c r="D368" s="47"/>
      <c r="E368" s="47"/>
      <c r="F368" s="47"/>
      <c r="G368" s="47" t="s">
        <v>470</v>
      </c>
      <c r="H368" s="61" t="s">
        <v>471</v>
      </c>
      <c r="I368" s="46" t="s">
        <v>421</v>
      </c>
      <c r="J368" s="46">
        <v>1</v>
      </c>
      <c r="K368" s="98"/>
      <c r="L368" s="46"/>
      <c r="M368" s="46"/>
      <c r="N368" s="98">
        <v>0.5</v>
      </c>
      <c r="O368" s="46"/>
      <c r="P368" s="5"/>
    </row>
    <row r="369" ht="18" customHeight="1" collapsed="1" spans="2:16">
      <c r="B369" s="46">
        <v>50</v>
      </c>
      <c r="C369" s="100" t="s">
        <v>53</v>
      </c>
      <c r="D369" s="100" t="s">
        <v>53</v>
      </c>
      <c r="E369" s="100" t="s">
        <v>403</v>
      </c>
      <c r="F369" s="100" t="s">
        <v>718</v>
      </c>
      <c r="G369" s="100" t="s">
        <v>758</v>
      </c>
      <c r="H369" s="100" t="s">
        <v>473</v>
      </c>
      <c r="I369" s="99" t="s">
        <v>413</v>
      </c>
      <c r="J369" s="99">
        <v>1</v>
      </c>
      <c r="K369" s="101">
        <f>(SUM(K370:K377))/7.5</f>
        <v>0.344444444444444</v>
      </c>
      <c r="L369" s="99" t="s">
        <v>46</v>
      </c>
      <c r="M369" s="99" t="s">
        <v>46</v>
      </c>
      <c r="N369" s="101">
        <f>(SUM(N370:N377))/7.5</f>
        <v>0.344444444444444</v>
      </c>
      <c r="O369" s="99" t="s">
        <v>46</v>
      </c>
      <c r="P369" s="102"/>
    </row>
    <row r="370" ht="108.75" hidden="1" customHeight="1" outlineLevel="1" spans="2:16">
      <c r="B370" s="106" t="s">
        <v>759</v>
      </c>
      <c r="C370" s="47"/>
      <c r="D370" s="47"/>
      <c r="E370" s="47"/>
      <c r="F370" s="47"/>
      <c r="G370" s="47" t="s">
        <v>474</v>
      </c>
      <c r="H370" s="61" t="s">
        <v>475</v>
      </c>
      <c r="I370" s="103" t="s">
        <v>421</v>
      </c>
      <c r="J370" s="103">
        <v>1</v>
      </c>
      <c r="K370" s="104">
        <v>0.166666666666667</v>
      </c>
      <c r="L370" s="103"/>
      <c r="M370" s="103"/>
      <c r="N370" s="104">
        <v>0.166666666666667</v>
      </c>
      <c r="O370" s="103"/>
      <c r="P370" s="5"/>
    </row>
    <row r="371" ht="41.25" hidden="1" customHeight="1" outlineLevel="1" spans="2:16">
      <c r="B371" s="106" t="s">
        <v>760</v>
      </c>
      <c r="C371" s="47"/>
      <c r="D371" s="47"/>
      <c r="E371" s="47"/>
      <c r="F371" s="47"/>
      <c r="G371" s="47" t="s">
        <v>476</v>
      </c>
      <c r="H371" s="61" t="s">
        <v>477</v>
      </c>
      <c r="I371" s="103" t="s">
        <v>421</v>
      </c>
      <c r="J371" s="103">
        <v>1</v>
      </c>
      <c r="K371" s="104">
        <v>0.5</v>
      </c>
      <c r="L371" s="103"/>
      <c r="M371" s="103"/>
      <c r="N371" s="104">
        <v>0.5</v>
      </c>
      <c r="O371" s="103"/>
      <c r="P371" s="5"/>
    </row>
    <row r="372" ht="54.75" hidden="1" customHeight="1" outlineLevel="1" spans="2:16">
      <c r="B372" s="106" t="s">
        <v>761</v>
      </c>
      <c r="C372" s="47"/>
      <c r="D372" s="47"/>
      <c r="E372" s="47"/>
      <c r="F372" s="47"/>
      <c r="G372" s="47" t="s">
        <v>478</v>
      </c>
      <c r="H372" s="61" t="s">
        <v>479</v>
      </c>
      <c r="I372" s="103" t="s">
        <v>58</v>
      </c>
      <c r="J372" s="103">
        <v>1</v>
      </c>
      <c r="K372" s="104">
        <v>0.166666666666667</v>
      </c>
      <c r="L372" s="103"/>
      <c r="M372" s="103"/>
      <c r="N372" s="104">
        <v>0.166666666666667</v>
      </c>
      <c r="O372" s="103"/>
      <c r="P372" s="5"/>
    </row>
    <row r="373" ht="27.75" hidden="1" customHeight="1" outlineLevel="1" spans="2:16">
      <c r="B373" s="106" t="s">
        <v>762</v>
      </c>
      <c r="C373" s="47"/>
      <c r="D373" s="47"/>
      <c r="E373" s="47"/>
      <c r="F373" s="47"/>
      <c r="G373" s="47" t="s">
        <v>480</v>
      </c>
      <c r="H373" s="61" t="s">
        <v>481</v>
      </c>
      <c r="I373" s="103" t="s">
        <v>58</v>
      </c>
      <c r="J373" s="103">
        <v>2</v>
      </c>
      <c r="K373" s="104">
        <v>0.166666666666667</v>
      </c>
      <c r="L373" s="103"/>
      <c r="M373" s="103"/>
      <c r="N373" s="104">
        <v>0.166666666666667</v>
      </c>
      <c r="O373" s="103"/>
      <c r="P373" s="5"/>
    </row>
    <row r="374" ht="54.75" hidden="1" customHeight="1" outlineLevel="1" spans="2:16">
      <c r="B374" s="106" t="s">
        <v>763</v>
      </c>
      <c r="C374" s="47"/>
      <c r="D374" s="47"/>
      <c r="E374" s="47"/>
      <c r="F374" s="47"/>
      <c r="G374" s="47" t="s">
        <v>482</v>
      </c>
      <c r="H374" s="61" t="s">
        <v>483</v>
      </c>
      <c r="I374" s="103" t="s">
        <v>421</v>
      </c>
      <c r="J374" s="103">
        <v>1</v>
      </c>
      <c r="K374" s="104">
        <v>0.333333333333334</v>
      </c>
      <c r="L374" s="103"/>
      <c r="M374" s="103"/>
      <c r="N374" s="104">
        <v>0.333333333333334</v>
      </c>
      <c r="O374" s="103"/>
      <c r="P374" s="5"/>
    </row>
    <row r="375" ht="68.25" hidden="1" customHeight="1" outlineLevel="1" spans="2:16">
      <c r="B375" s="106" t="s">
        <v>764</v>
      </c>
      <c r="C375" s="47"/>
      <c r="D375" s="47"/>
      <c r="E375" s="47"/>
      <c r="F375" s="47"/>
      <c r="G375" s="47" t="s">
        <v>484</v>
      </c>
      <c r="H375" s="61" t="s">
        <v>485</v>
      </c>
      <c r="I375" s="103" t="s">
        <v>58</v>
      </c>
      <c r="J375" s="103">
        <v>1</v>
      </c>
      <c r="K375" s="104">
        <v>1.08333333333333</v>
      </c>
      <c r="L375" s="103"/>
      <c r="M375" s="103"/>
      <c r="N375" s="104">
        <v>1.08333333333333</v>
      </c>
      <c r="O375" s="103"/>
      <c r="P375" s="5"/>
    </row>
    <row r="376" hidden="1" customHeight="1" outlineLevel="1" spans="2:16">
      <c r="B376" s="106" t="s">
        <v>765</v>
      </c>
      <c r="C376" s="47"/>
      <c r="D376" s="47"/>
      <c r="E376" s="47"/>
      <c r="F376" s="47"/>
      <c r="G376" s="47" t="s">
        <v>486</v>
      </c>
      <c r="H376" s="47" t="s">
        <v>487</v>
      </c>
      <c r="I376" s="103" t="s">
        <v>58</v>
      </c>
      <c r="J376" s="103">
        <v>1</v>
      </c>
      <c r="K376" s="104">
        <v>0.0833333333333333</v>
      </c>
      <c r="L376" s="103"/>
      <c r="M376" s="103"/>
      <c r="N376" s="104">
        <v>0.0833333333333333</v>
      </c>
      <c r="O376" s="103"/>
      <c r="P376" s="5" t="s">
        <v>682</v>
      </c>
    </row>
    <row r="377" ht="54.75" hidden="1" customHeight="1" outlineLevel="1" spans="2:16">
      <c r="B377" s="106" t="s">
        <v>766</v>
      </c>
      <c r="C377" s="47"/>
      <c r="D377" s="47"/>
      <c r="E377" s="47"/>
      <c r="F377" s="47"/>
      <c r="G377" s="47" t="s">
        <v>488</v>
      </c>
      <c r="H377" s="61" t="s">
        <v>489</v>
      </c>
      <c r="I377" s="103" t="s">
        <v>58</v>
      </c>
      <c r="J377" s="103">
        <v>1</v>
      </c>
      <c r="K377" s="104">
        <v>0.0833333333333333</v>
      </c>
      <c r="L377" s="103"/>
      <c r="M377" s="103"/>
      <c r="N377" s="104">
        <v>0.0833333333333333</v>
      </c>
      <c r="O377" s="103"/>
      <c r="P377" s="5"/>
    </row>
    <row r="378" ht="18" customHeight="1" collapsed="1" spans="2:16">
      <c r="B378" s="46">
        <v>51</v>
      </c>
      <c r="C378" s="100" t="s">
        <v>53</v>
      </c>
      <c r="D378" s="100" t="s">
        <v>53</v>
      </c>
      <c r="E378" s="100" t="s">
        <v>403</v>
      </c>
      <c r="F378" s="100" t="s">
        <v>718</v>
      </c>
      <c r="G378" s="100" t="s">
        <v>767</v>
      </c>
      <c r="H378" s="100" t="s">
        <v>491</v>
      </c>
      <c r="I378" s="99" t="s">
        <v>409</v>
      </c>
      <c r="J378" s="99">
        <v>1</v>
      </c>
      <c r="K378" s="101">
        <f>SUMIF(I379:I386,"站",K379:K387)</f>
        <v>2.83333333333333</v>
      </c>
      <c r="L378" s="99" t="s">
        <v>46</v>
      </c>
      <c r="M378" s="99" t="s">
        <v>46</v>
      </c>
      <c r="N378" s="101">
        <f>SUMIF(I379:I386,"站",N379:N387)</f>
        <v>2.83333333333333</v>
      </c>
      <c r="O378" s="99" t="s">
        <v>46</v>
      </c>
      <c r="P378" s="102"/>
    </row>
    <row r="379" ht="27.75" hidden="1" customHeight="1" outlineLevel="1" spans="2:16">
      <c r="B379" s="106" t="s">
        <v>768</v>
      </c>
      <c r="C379" s="47"/>
      <c r="D379" s="47"/>
      <c r="E379" s="47"/>
      <c r="F379" s="47"/>
      <c r="G379" s="47" t="s">
        <v>492</v>
      </c>
      <c r="H379" s="61" t="s">
        <v>493</v>
      </c>
      <c r="I379" s="103" t="s">
        <v>409</v>
      </c>
      <c r="J379" s="103">
        <v>1</v>
      </c>
      <c r="K379" s="104">
        <v>1</v>
      </c>
      <c r="L379" s="103"/>
      <c r="M379" s="103"/>
      <c r="N379" s="104">
        <v>1</v>
      </c>
      <c r="O379" s="103"/>
      <c r="P379" s="5"/>
    </row>
    <row r="380" ht="27.75" hidden="1" customHeight="1" outlineLevel="1" spans="2:16">
      <c r="B380" s="106" t="s">
        <v>769</v>
      </c>
      <c r="C380" s="47"/>
      <c r="D380" s="47"/>
      <c r="E380" s="47"/>
      <c r="F380" s="47"/>
      <c r="G380" s="47" t="s">
        <v>495</v>
      </c>
      <c r="H380" s="61" t="s">
        <v>496</v>
      </c>
      <c r="I380" s="103" t="s">
        <v>409</v>
      </c>
      <c r="J380" s="103">
        <v>1</v>
      </c>
      <c r="K380" s="104">
        <v>0.0833333333333333</v>
      </c>
      <c r="L380" s="103"/>
      <c r="M380" s="103"/>
      <c r="N380" s="104">
        <v>0.0833333333333333</v>
      </c>
      <c r="O380" s="103"/>
      <c r="P380" s="5"/>
    </row>
    <row r="381" ht="27.75" hidden="1" customHeight="1" outlineLevel="1" spans="2:16">
      <c r="B381" s="106" t="s">
        <v>770</v>
      </c>
      <c r="C381" s="47"/>
      <c r="D381" s="47"/>
      <c r="E381" s="47"/>
      <c r="F381" s="47"/>
      <c r="G381" s="47" t="s">
        <v>498</v>
      </c>
      <c r="H381" s="61" t="s">
        <v>499</v>
      </c>
      <c r="I381" s="103" t="s">
        <v>409</v>
      </c>
      <c r="J381" s="103">
        <v>1</v>
      </c>
      <c r="K381" s="104">
        <v>0.333333333333333</v>
      </c>
      <c r="L381" s="103"/>
      <c r="M381" s="103"/>
      <c r="N381" s="104">
        <v>0.333333333333333</v>
      </c>
      <c r="O381" s="103"/>
      <c r="P381" s="5"/>
    </row>
    <row r="382" ht="54.75" hidden="1" customHeight="1" outlineLevel="1" spans="2:16">
      <c r="B382" s="106" t="s">
        <v>771</v>
      </c>
      <c r="C382" s="47"/>
      <c r="D382" s="47"/>
      <c r="E382" s="47"/>
      <c r="F382" s="47"/>
      <c r="G382" s="47" t="s">
        <v>501</v>
      </c>
      <c r="H382" s="61" t="s">
        <v>502</v>
      </c>
      <c r="I382" s="103" t="s">
        <v>409</v>
      </c>
      <c r="J382" s="103">
        <v>1</v>
      </c>
      <c r="K382" s="104">
        <v>0.333333333333333</v>
      </c>
      <c r="L382" s="103"/>
      <c r="M382" s="103"/>
      <c r="N382" s="104">
        <v>0.333333333333333</v>
      </c>
      <c r="O382" s="103"/>
      <c r="P382" s="5"/>
    </row>
    <row r="383" ht="27.75" hidden="1" customHeight="1" outlineLevel="1" spans="2:16">
      <c r="B383" s="106" t="s">
        <v>772</v>
      </c>
      <c r="C383" s="47"/>
      <c r="D383" s="47"/>
      <c r="E383" s="47"/>
      <c r="F383" s="47"/>
      <c r="G383" s="47" t="s">
        <v>504</v>
      </c>
      <c r="H383" s="61" t="s">
        <v>505</v>
      </c>
      <c r="I383" s="103" t="s">
        <v>409</v>
      </c>
      <c r="J383" s="103">
        <v>1</v>
      </c>
      <c r="K383" s="104">
        <v>0.25</v>
      </c>
      <c r="L383" s="103"/>
      <c r="M383" s="103"/>
      <c r="N383" s="104">
        <v>0.25</v>
      </c>
      <c r="O383" s="103"/>
      <c r="P383" s="5"/>
    </row>
    <row r="384" hidden="1" customHeight="1" outlineLevel="1" spans="2:16">
      <c r="B384" s="106" t="s">
        <v>773</v>
      </c>
      <c r="C384" s="47"/>
      <c r="D384" s="47"/>
      <c r="E384" s="47"/>
      <c r="F384" s="47"/>
      <c r="G384" s="47" t="s">
        <v>507</v>
      </c>
      <c r="H384" s="47" t="s">
        <v>508</v>
      </c>
      <c r="I384" s="103" t="s">
        <v>409</v>
      </c>
      <c r="J384" s="103">
        <v>1</v>
      </c>
      <c r="K384" s="104">
        <v>0.25</v>
      </c>
      <c r="L384" s="103"/>
      <c r="M384" s="103"/>
      <c r="N384" s="104">
        <v>0.25</v>
      </c>
      <c r="O384" s="103"/>
      <c r="P384" s="5"/>
    </row>
    <row r="385" ht="27.75" hidden="1" customHeight="1" outlineLevel="1" spans="2:16">
      <c r="B385" s="106" t="s">
        <v>774</v>
      </c>
      <c r="C385" s="47"/>
      <c r="D385" s="47"/>
      <c r="E385" s="47"/>
      <c r="F385" s="47"/>
      <c r="G385" s="47" t="s">
        <v>510</v>
      </c>
      <c r="H385" s="61" t="s">
        <v>511</v>
      </c>
      <c r="I385" s="103" t="s">
        <v>409</v>
      </c>
      <c r="J385" s="103">
        <v>1</v>
      </c>
      <c r="K385" s="104">
        <v>0.25</v>
      </c>
      <c r="L385" s="103"/>
      <c r="M385" s="103"/>
      <c r="N385" s="104">
        <v>0.25</v>
      </c>
      <c r="O385" s="103"/>
      <c r="P385" s="5"/>
    </row>
    <row r="386" ht="27.75" hidden="1" customHeight="1" outlineLevel="1" spans="2:16">
      <c r="B386" s="106" t="s">
        <v>775</v>
      </c>
      <c r="C386" s="47"/>
      <c r="D386" s="47"/>
      <c r="E386" s="47"/>
      <c r="F386" s="47"/>
      <c r="G386" s="47" t="s">
        <v>513</v>
      </c>
      <c r="H386" s="61" t="s">
        <v>514</v>
      </c>
      <c r="I386" s="103" t="s">
        <v>409</v>
      </c>
      <c r="J386" s="103">
        <v>1</v>
      </c>
      <c r="K386" s="104">
        <v>0.333333333333333</v>
      </c>
      <c r="L386" s="103"/>
      <c r="M386" s="103"/>
      <c r="N386" s="104">
        <v>0.333333333333333</v>
      </c>
      <c r="O386" s="103"/>
      <c r="P386" s="5"/>
    </row>
    <row r="387" ht="18" customHeight="1" collapsed="1" spans="2:16">
      <c r="B387" s="46">
        <v>52</v>
      </c>
      <c r="C387" s="100" t="s">
        <v>53</v>
      </c>
      <c r="D387" s="100" t="s">
        <v>53</v>
      </c>
      <c r="E387" s="100" t="s">
        <v>403</v>
      </c>
      <c r="F387" s="100" t="s">
        <v>718</v>
      </c>
      <c r="G387" s="100" t="s">
        <v>776</v>
      </c>
      <c r="H387" s="100" t="s">
        <v>516</v>
      </c>
      <c r="I387" s="99" t="s">
        <v>413</v>
      </c>
      <c r="J387" s="99">
        <v>1</v>
      </c>
      <c r="K387" s="101">
        <f>SUM(K388:K389)/15+K390/7.5</f>
        <v>0.266666666666667</v>
      </c>
      <c r="L387" s="99" t="s">
        <v>46</v>
      </c>
      <c r="M387" s="99" t="s">
        <v>46</v>
      </c>
      <c r="N387" s="101">
        <f>SUM(N388:N389)/15+N390/7.5</f>
        <v>0.4</v>
      </c>
      <c r="O387" s="99" t="s">
        <v>46</v>
      </c>
      <c r="P387" s="102"/>
    </row>
    <row r="388" ht="284.25" hidden="1" customHeight="1" outlineLevel="1" spans="2:16">
      <c r="B388" s="103">
        <v>52.1</v>
      </c>
      <c r="C388" s="47"/>
      <c r="D388" s="47"/>
      <c r="E388" s="47"/>
      <c r="F388" s="47"/>
      <c r="G388" s="47" t="s">
        <v>517</v>
      </c>
      <c r="H388" s="61" t="s">
        <v>518</v>
      </c>
      <c r="I388" s="46" t="s">
        <v>421</v>
      </c>
      <c r="J388" s="46">
        <v>1</v>
      </c>
      <c r="K388" s="98">
        <v>1</v>
      </c>
      <c r="L388" s="46"/>
      <c r="M388" s="46"/>
      <c r="N388" s="98">
        <v>1.5</v>
      </c>
      <c r="O388" s="46"/>
      <c r="P388" s="5"/>
    </row>
    <row r="389" ht="216.75" hidden="1" customHeight="1" outlineLevel="1" spans="2:16">
      <c r="B389" s="103">
        <v>52.2</v>
      </c>
      <c r="C389" s="47"/>
      <c r="D389" s="47"/>
      <c r="E389" s="47"/>
      <c r="F389" s="47"/>
      <c r="G389" s="47" t="s">
        <v>519</v>
      </c>
      <c r="H389" s="61" t="s">
        <v>520</v>
      </c>
      <c r="I389" s="46" t="s">
        <v>421</v>
      </c>
      <c r="J389" s="46">
        <v>1</v>
      </c>
      <c r="K389" s="98">
        <v>1</v>
      </c>
      <c r="L389" s="46"/>
      <c r="M389" s="46"/>
      <c r="N389" s="98">
        <v>1.5</v>
      </c>
      <c r="O389" s="46"/>
      <c r="P389" s="5"/>
    </row>
    <row r="390" ht="81.75" hidden="1" customHeight="1" outlineLevel="1" spans="2:16">
      <c r="B390" s="103">
        <v>52.3</v>
      </c>
      <c r="C390" s="47"/>
      <c r="D390" s="47"/>
      <c r="E390" s="47"/>
      <c r="F390" s="47"/>
      <c r="G390" s="47" t="s">
        <v>521</v>
      </c>
      <c r="H390" s="61" t="s">
        <v>522</v>
      </c>
      <c r="I390" s="46" t="s">
        <v>58</v>
      </c>
      <c r="J390" s="46">
        <v>1</v>
      </c>
      <c r="K390" s="98">
        <v>1</v>
      </c>
      <c r="L390" s="46"/>
      <c r="M390" s="46"/>
      <c r="N390" s="98">
        <v>1.5</v>
      </c>
      <c r="O390" s="46"/>
      <c r="P390" s="5"/>
    </row>
    <row r="391" ht="18" customHeight="1" collapsed="1" spans="2:16">
      <c r="B391" s="46">
        <v>53</v>
      </c>
      <c r="C391" s="100" t="s">
        <v>53</v>
      </c>
      <c r="D391" s="100" t="s">
        <v>53</v>
      </c>
      <c r="E391" s="100" t="s">
        <v>403</v>
      </c>
      <c r="F391" s="100" t="s">
        <v>718</v>
      </c>
      <c r="G391" s="100" t="s">
        <v>777</v>
      </c>
      <c r="H391" s="100" t="s">
        <v>778</v>
      </c>
      <c r="I391" s="99" t="s">
        <v>413</v>
      </c>
      <c r="J391" s="99">
        <v>1</v>
      </c>
      <c r="K391" s="101">
        <f>SUM(K392:K399)/7.5</f>
        <v>0.44</v>
      </c>
      <c r="L391" s="99" t="s">
        <v>46</v>
      </c>
      <c r="M391" s="99" t="s">
        <v>46</v>
      </c>
      <c r="N391" s="101">
        <f>SUM(N392:N399)/7.5</f>
        <v>0.544444444444444</v>
      </c>
      <c r="O391" s="99" t="s">
        <v>46</v>
      </c>
      <c r="P391" s="102"/>
    </row>
    <row r="392" ht="17.25" hidden="1" customHeight="1" outlineLevel="1" spans="2:16">
      <c r="B392" s="106" t="s">
        <v>779</v>
      </c>
      <c r="C392" s="47"/>
      <c r="D392" s="47"/>
      <c r="E392" s="47" t="s">
        <v>403</v>
      </c>
      <c r="F392" s="47"/>
      <c r="G392" s="47" t="s">
        <v>694</v>
      </c>
      <c r="H392" s="47" t="s">
        <v>525</v>
      </c>
      <c r="I392" s="46" t="s">
        <v>58</v>
      </c>
      <c r="J392" s="46">
        <v>1</v>
      </c>
      <c r="K392" s="98">
        <v>0.0833333333333333</v>
      </c>
      <c r="L392" s="46"/>
      <c r="M392" s="46"/>
      <c r="N392" s="98">
        <v>0.0833333333333333</v>
      </c>
      <c r="O392" s="46"/>
      <c r="P392" s="5"/>
    </row>
    <row r="393" ht="54.75" hidden="1" customHeight="1" outlineLevel="1" spans="2:16">
      <c r="B393" s="106" t="s">
        <v>780</v>
      </c>
      <c r="C393" s="47"/>
      <c r="D393" s="47"/>
      <c r="E393" s="47" t="s">
        <v>403</v>
      </c>
      <c r="F393" s="47"/>
      <c r="G393" s="47" t="s">
        <v>696</v>
      </c>
      <c r="H393" s="61" t="s">
        <v>526</v>
      </c>
      <c r="I393" s="46" t="s">
        <v>58</v>
      </c>
      <c r="J393" s="46">
        <v>1</v>
      </c>
      <c r="K393" s="98">
        <v>0.0833333333333333</v>
      </c>
      <c r="L393" s="46"/>
      <c r="M393" s="46"/>
      <c r="N393" s="98">
        <v>0.0833333333333333</v>
      </c>
      <c r="O393" s="46"/>
      <c r="P393" s="5"/>
    </row>
    <row r="394" ht="41.25" hidden="1" customHeight="1" outlineLevel="1" spans="2:16">
      <c r="B394" s="106" t="s">
        <v>781</v>
      </c>
      <c r="C394" s="47"/>
      <c r="D394" s="47"/>
      <c r="E394" s="47" t="s">
        <v>403</v>
      </c>
      <c r="F394" s="47"/>
      <c r="G394" s="47" t="s">
        <v>698</v>
      </c>
      <c r="H394" s="61" t="s">
        <v>527</v>
      </c>
      <c r="I394" s="46" t="s">
        <v>421</v>
      </c>
      <c r="J394" s="46">
        <v>1</v>
      </c>
      <c r="K394" s="98">
        <v>0.5</v>
      </c>
      <c r="L394" s="46"/>
      <c r="M394" s="46"/>
      <c r="N394" s="98">
        <v>0.75</v>
      </c>
      <c r="O394" s="46"/>
      <c r="P394" s="5"/>
    </row>
    <row r="395" ht="17.25" hidden="1" customHeight="1" outlineLevel="1" spans="2:16">
      <c r="B395" s="106" t="s">
        <v>782</v>
      </c>
      <c r="C395" s="47"/>
      <c r="D395" s="47"/>
      <c r="E395" s="47" t="s">
        <v>403</v>
      </c>
      <c r="F395" s="47"/>
      <c r="G395" s="47" t="s">
        <v>700</v>
      </c>
      <c r="H395" s="47" t="s">
        <v>783</v>
      </c>
      <c r="I395" s="46" t="s">
        <v>58</v>
      </c>
      <c r="J395" s="46">
        <v>1</v>
      </c>
      <c r="K395" s="98">
        <v>0.05</v>
      </c>
      <c r="L395" s="46"/>
      <c r="M395" s="46"/>
      <c r="N395" s="98">
        <v>0.0833333333333333</v>
      </c>
      <c r="O395" s="46"/>
      <c r="P395" s="5"/>
    </row>
    <row r="396" ht="68.25" hidden="1" customHeight="1" outlineLevel="1" spans="2:16">
      <c r="B396" s="106" t="s">
        <v>784</v>
      </c>
      <c r="C396" s="47"/>
      <c r="D396" s="47"/>
      <c r="E396" s="47" t="s">
        <v>403</v>
      </c>
      <c r="F396" s="47"/>
      <c r="G396" s="47" t="s">
        <v>702</v>
      </c>
      <c r="H396" s="61" t="s">
        <v>529</v>
      </c>
      <c r="I396" s="46" t="s">
        <v>421</v>
      </c>
      <c r="J396" s="46">
        <v>1</v>
      </c>
      <c r="K396" s="98">
        <v>0.25</v>
      </c>
      <c r="L396" s="46"/>
      <c r="M396" s="46"/>
      <c r="N396" s="98">
        <v>0.25</v>
      </c>
      <c r="O396" s="46"/>
      <c r="P396" s="5"/>
    </row>
    <row r="397" ht="81.75" hidden="1" customHeight="1" outlineLevel="1" spans="2:16">
      <c r="B397" s="106" t="s">
        <v>785</v>
      </c>
      <c r="C397" s="47"/>
      <c r="D397" s="47"/>
      <c r="E397" s="47" t="s">
        <v>403</v>
      </c>
      <c r="F397" s="47"/>
      <c r="G397" s="47" t="s">
        <v>704</v>
      </c>
      <c r="H397" s="61" t="s">
        <v>530</v>
      </c>
      <c r="I397" s="46" t="s">
        <v>58</v>
      </c>
      <c r="J397" s="46">
        <v>1</v>
      </c>
      <c r="K397" s="98">
        <v>1</v>
      </c>
      <c r="L397" s="46"/>
      <c r="M397" s="46"/>
      <c r="N397" s="98">
        <v>1.5</v>
      </c>
      <c r="O397" s="46"/>
      <c r="P397" s="5"/>
    </row>
    <row r="398" ht="135.75" hidden="1" customHeight="1" outlineLevel="1" spans="2:16">
      <c r="B398" s="106" t="s">
        <v>786</v>
      </c>
      <c r="C398" s="47"/>
      <c r="D398" s="47"/>
      <c r="E398" s="47" t="s">
        <v>403</v>
      </c>
      <c r="F398" s="47"/>
      <c r="G398" s="47" t="s">
        <v>706</v>
      </c>
      <c r="H398" s="61" t="s">
        <v>531</v>
      </c>
      <c r="I398" s="46" t="s">
        <v>421</v>
      </c>
      <c r="J398" s="46">
        <v>1</v>
      </c>
      <c r="K398" s="98">
        <v>1.08333333333333</v>
      </c>
      <c r="L398" s="46"/>
      <c r="M398" s="46"/>
      <c r="N398" s="98">
        <v>1.08333333333333</v>
      </c>
      <c r="O398" s="46"/>
      <c r="P398" s="5"/>
    </row>
    <row r="399" ht="54.75" hidden="1" customHeight="1" outlineLevel="1" spans="2:16">
      <c r="B399" s="106" t="s">
        <v>787</v>
      </c>
      <c r="C399" s="47"/>
      <c r="D399" s="47"/>
      <c r="E399" s="47" t="s">
        <v>403</v>
      </c>
      <c r="F399" s="47"/>
      <c r="G399" s="47" t="s">
        <v>708</v>
      </c>
      <c r="H399" s="61" t="s">
        <v>532</v>
      </c>
      <c r="I399" s="46" t="s">
        <v>421</v>
      </c>
      <c r="J399" s="46">
        <v>1</v>
      </c>
      <c r="K399" s="98">
        <v>0.25</v>
      </c>
      <c r="L399" s="46"/>
      <c r="M399" s="46"/>
      <c r="N399" s="98">
        <v>0.25</v>
      </c>
      <c r="O399" s="46"/>
      <c r="P399" s="5"/>
    </row>
    <row r="400" ht="18" customHeight="1" collapsed="1" spans="2:16">
      <c r="B400" s="46">
        <v>54</v>
      </c>
      <c r="C400" s="100" t="s">
        <v>53</v>
      </c>
      <c r="D400" s="100" t="s">
        <v>53</v>
      </c>
      <c r="E400" s="100" t="s">
        <v>403</v>
      </c>
      <c r="F400" s="100" t="s">
        <v>718</v>
      </c>
      <c r="G400" s="100" t="s">
        <v>788</v>
      </c>
      <c r="H400" s="100" t="s">
        <v>789</v>
      </c>
      <c r="I400" s="99" t="s">
        <v>409</v>
      </c>
      <c r="J400" s="99">
        <v>1</v>
      </c>
      <c r="K400" s="101">
        <f>SUMIF(I401:I407,"站",K401:K407)</f>
        <v>76.25</v>
      </c>
      <c r="L400" s="99" t="s">
        <v>46</v>
      </c>
      <c r="M400" s="99" t="s">
        <v>46</v>
      </c>
      <c r="N400" s="101">
        <f>SUMIF(I401:I407,"站",N401:N407)</f>
        <v>76.25</v>
      </c>
      <c r="O400" s="99" t="s">
        <v>46</v>
      </c>
      <c r="P400" s="102"/>
    </row>
    <row r="401" ht="27.75" hidden="1" customHeight="1" outlineLevel="1" spans="2:16">
      <c r="B401" s="106" t="s">
        <v>790</v>
      </c>
      <c r="C401" s="47"/>
      <c r="D401" s="47"/>
      <c r="E401" s="100" t="s">
        <v>403</v>
      </c>
      <c r="F401" s="47"/>
      <c r="G401" s="47" t="s">
        <v>536</v>
      </c>
      <c r="H401" s="61" t="s">
        <v>537</v>
      </c>
      <c r="I401" s="46" t="s">
        <v>409</v>
      </c>
      <c r="J401" s="46">
        <v>1</v>
      </c>
      <c r="K401" s="98">
        <v>0.25</v>
      </c>
      <c r="L401" s="46"/>
      <c r="M401" s="46"/>
      <c r="N401" s="98">
        <v>0.25</v>
      </c>
      <c r="O401" s="46"/>
      <c r="P401" s="5"/>
    </row>
    <row r="402" ht="176.25" hidden="1" customHeight="1" outlineLevel="1" spans="2:16">
      <c r="B402" s="106" t="s">
        <v>791</v>
      </c>
      <c r="C402" s="47"/>
      <c r="D402" s="47"/>
      <c r="E402" s="100" t="s">
        <v>403</v>
      </c>
      <c r="F402" s="47"/>
      <c r="G402" s="47" t="s">
        <v>539</v>
      </c>
      <c r="H402" s="61" t="s">
        <v>540</v>
      </c>
      <c r="I402" s="46" t="s">
        <v>409</v>
      </c>
      <c r="J402" s="46">
        <v>1</v>
      </c>
      <c r="K402" s="98">
        <v>1.5</v>
      </c>
      <c r="L402" s="46"/>
      <c r="M402" s="46"/>
      <c r="N402" s="98">
        <v>1.5</v>
      </c>
      <c r="O402" s="46"/>
      <c r="P402" s="5"/>
    </row>
    <row r="403" ht="81.75" hidden="1" customHeight="1" outlineLevel="1" spans="2:16">
      <c r="B403" s="106" t="s">
        <v>792</v>
      </c>
      <c r="C403" s="47"/>
      <c r="D403" s="47"/>
      <c r="E403" s="100" t="s">
        <v>403</v>
      </c>
      <c r="F403" s="47"/>
      <c r="G403" s="47" t="s">
        <v>542</v>
      </c>
      <c r="H403" s="61" t="s">
        <v>543</v>
      </c>
      <c r="I403" s="46" t="s">
        <v>409</v>
      </c>
      <c r="J403" s="46">
        <v>1</v>
      </c>
      <c r="K403" s="98">
        <v>1</v>
      </c>
      <c r="L403" s="46"/>
      <c r="M403" s="46"/>
      <c r="N403" s="98">
        <v>1</v>
      </c>
      <c r="O403" s="46"/>
      <c r="P403" s="5"/>
    </row>
    <row r="404" ht="122.25" hidden="1" customHeight="1" outlineLevel="1" spans="2:16">
      <c r="B404" s="106" t="s">
        <v>793</v>
      </c>
      <c r="C404" s="47"/>
      <c r="D404" s="47"/>
      <c r="E404" s="100" t="s">
        <v>403</v>
      </c>
      <c r="F404" s="47"/>
      <c r="G404" s="47" t="s">
        <v>545</v>
      </c>
      <c r="H404" s="61" t="s">
        <v>714</v>
      </c>
      <c r="I404" s="46" t="s">
        <v>409</v>
      </c>
      <c r="J404" s="46">
        <v>1</v>
      </c>
      <c r="K404" s="98">
        <v>1</v>
      </c>
      <c r="L404" s="46"/>
      <c r="M404" s="46"/>
      <c r="N404" s="98">
        <v>1</v>
      </c>
      <c r="O404" s="46"/>
      <c r="P404" s="5"/>
    </row>
    <row r="405" ht="54.75" hidden="1" customHeight="1" outlineLevel="1" spans="2:16">
      <c r="B405" s="106" t="s">
        <v>794</v>
      </c>
      <c r="C405" s="47"/>
      <c r="D405" s="47"/>
      <c r="E405" s="100" t="s">
        <v>403</v>
      </c>
      <c r="F405" s="47"/>
      <c r="G405" s="47" t="s">
        <v>548</v>
      </c>
      <c r="H405" s="61" t="s">
        <v>549</v>
      </c>
      <c r="I405" s="46" t="s">
        <v>409</v>
      </c>
      <c r="J405" s="46">
        <v>1</v>
      </c>
      <c r="K405" s="98">
        <v>0.166666666666667</v>
      </c>
      <c r="L405" s="46"/>
      <c r="M405" s="46"/>
      <c r="N405" s="98">
        <v>0.166666666666667</v>
      </c>
      <c r="O405" s="46"/>
      <c r="P405" s="5"/>
    </row>
    <row r="406" ht="41.25" hidden="1" customHeight="1" outlineLevel="1" spans="2:16">
      <c r="B406" s="106" t="s">
        <v>795</v>
      </c>
      <c r="C406" s="47"/>
      <c r="D406" s="47"/>
      <c r="E406" s="100" t="s">
        <v>403</v>
      </c>
      <c r="F406" s="47"/>
      <c r="G406" s="47" t="s">
        <v>551</v>
      </c>
      <c r="H406" s="61" t="s">
        <v>552</v>
      </c>
      <c r="I406" s="46" t="s">
        <v>409</v>
      </c>
      <c r="J406" s="46">
        <v>1</v>
      </c>
      <c r="K406" s="98">
        <v>0.333333333333333</v>
      </c>
      <c r="L406" s="46"/>
      <c r="M406" s="46"/>
      <c r="N406" s="98">
        <v>0.333333333333333</v>
      </c>
      <c r="O406" s="46"/>
      <c r="P406" s="5"/>
    </row>
    <row r="407" ht="54.75" hidden="1" customHeight="1" outlineLevel="1" spans="2:16">
      <c r="B407" s="106" t="s">
        <v>796</v>
      </c>
      <c r="C407" s="47"/>
      <c r="D407" s="47"/>
      <c r="E407" s="100" t="s">
        <v>403</v>
      </c>
      <c r="F407" s="47"/>
      <c r="G407" s="47" t="s">
        <v>554</v>
      </c>
      <c r="H407" s="61" t="s">
        <v>555</v>
      </c>
      <c r="I407" s="46" t="s">
        <v>409</v>
      </c>
      <c r="J407" s="46">
        <v>1</v>
      </c>
      <c r="K407" s="98">
        <v>72</v>
      </c>
      <c r="L407" s="46"/>
      <c r="M407" s="46"/>
      <c r="N407" s="98">
        <v>72</v>
      </c>
      <c r="O407" s="46"/>
      <c r="P407" s="5"/>
    </row>
    <row r="408" ht="18" customHeight="1" collapsed="1" spans="2:16">
      <c r="B408" s="46">
        <v>55</v>
      </c>
      <c r="C408" s="100" t="s">
        <v>39</v>
      </c>
      <c r="D408" s="100" t="s">
        <v>39</v>
      </c>
      <c r="E408" s="100" t="s">
        <v>403</v>
      </c>
      <c r="F408" s="100" t="s">
        <v>797</v>
      </c>
      <c r="G408" s="100" t="s">
        <v>798</v>
      </c>
      <c r="H408" s="100" t="s">
        <v>557</v>
      </c>
      <c r="I408" s="99" t="s">
        <v>58</v>
      </c>
      <c r="J408" s="99">
        <v>1</v>
      </c>
      <c r="K408" s="101">
        <f>SUM(K409:K424)</f>
        <v>11.1</v>
      </c>
      <c r="L408" s="99" t="s">
        <v>46</v>
      </c>
      <c r="M408" s="99" t="s">
        <v>46</v>
      </c>
      <c r="N408" s="101">
        <f>SUM(N409:N424)</f>
        <v>11.1</v>
      </c>
      <c r="O408" s="99" t="s">
        <v>46</v>
      </c>
      <c r="P408" s="102" t="s">
        <v>558</v>
      </c>
    </row>
    <row r="409" ht="54.75" hidden="1" customHeight="1" outlineLevel="1" spans="2:16">
      <c r="B409" s="106" t="s">
        <v>799</v>
      </c>
      <c r="C409" s="47"/>
      <c r="D409" s="47"/>
      <c r="E409" s="100" t="s">
        <v>403</v>
      </c>
      <c r="F409" s="47"/>
      <c r="G409" s="47" t="s">
        <v>560</v>
      </c>
      <c r="H409" s="61" t="s">
        <v>561</v>
      </c>
      <c r="I409" s="46" t="s">
        <v>562</v>
      </c>
      <c r="J409" s="46">
        <v>1</v>
      </c>
      <c r="K409" s="101">
        <v>0.333333333333334</v>
      </c>
      <c r="L409" s="99"/>
      <c r="M409" s="99"/>
      <c r="N409" s="101">
        <v>0.333333333333334</v>
      </c>
      <c r="O409" s="46"/>
      <c r="P409" s="5"/>
    </row>
    <row r="410" ht="122.25" hidden="1" customHeight="1" outlineLevel="1" spans="2:16">
      <c r="B410" s="106" t="s">
        <v>800</v>
      </c>
      <c r="C410" s="47"/>
      <c r="D410" s="47"/>
      <c r="E410" s="100" t="s">
        <v>403</v>
      </c>
      <c r="F410" s="47"/>
      <c r="G410" s="47" t="s">
        <v>564</v>
      </c>
      <c r="H410" s="61" t="s">
        <v>565</v>
      </c>
      <c r="I410" s="46" t="s">
        <v>562</v>
      </c>
      <c r="J410" s="46">
        <v>1</v>
      </c>
      <c r="K410" s="101">
        <v>0.166666666666667</v>
      </c>
      <c r="L410" s="99"/>
      <c r="M410" s="99"/>
      <c r="N410" s="101">
        <v>0.166666666666667</v>
      </c>
      <c r="O410" s="46"/>
      <c r="P410" s="5"/>
    </row>
    <row r="411" ht="176.25" hidden="1" customHeight="1" outlineLevel="1" spans="2:16">
      <c r="B411" s="106" t="s">
        <v>801</v>
      </c>
      <c r="C411" s="47"/>
      <c r="D411" s="47"/>
      <c r="E411" s="100" t="s">
        <v>403</v>
      </c>
      <c r="F411" s="47"/>
      <c r="G411" s="47" t="s">
        <v>567</v>
      </c>
      <c r="H411" s="61" t="s">
        <v>568</v>
      </c>
      <c r="I411" s="46" t="s">
        <v>562</v>
      </c>
      <c r="J411" s="46">
        <v>1</v>
      </c>
      <c r="K411" s="101">
        <v>0.666666666666668</v>
      </c>
      <c r="L411" s="99"/>
      <c r="M411" s="99"/>
      <c r="N411" s="101">
        <v>0.666666666666668</v>
      </c>
      <c r="O411" s="46"/>
      <c r="P411" s="5"/>
    </row>
    <row r="412" ht="54.75" hidden="1" customHeight="1" outlineLevel="1" spans="2:16">
      <c r="B412" s="106" t="s">
        <v>802</v>
      </c>
      <c r="C412" s="47"/>
      <c r="D412" s="47"/>
      <c r="E412" s="100" t="s">
        <v>403</v>
      </c>
      <c r="F412" s="47"/>
      <c r="G412" s="47" t="s">
        <v>570</v>
      </c>
      <c r="H412" s="61" t="s">
        <v>571</v>
      </c>
      <c r="I412" s="46" t="s">
        <v>562</v>
      </c>
      <c r="J412" s="46">
        <v>1</v>
      </c>
      <c r="K412" s="101">
        <v>0.5</v>
      </c>
      <c r="L412" s="99"/>
      <c r="M412" s="99"/>
      <c r="N412" s="101">
        <v>0.5</v>
      </c>
      <c r="O412" s="46"/>
      <c r="P412" s="5"/>
    </row>
    <row r="413" ht="27.75" hidden="1" customHeight="1" outlineLevel="1" spans="2:16">
      <c r="B413" s="106" t="s">
        <v>803</v>
      </c>
      <c r="C413" s="47"/>
      <c r="D413" s="47"/>
      <c r="E413" s="100" t="s">
        <v>403</v>
      </c>
      <c r="F413" s="47"/>
      <c r="G413" s="47" t="s">
        <v>573</v>
      </c>
      <c r="H413" s="61" t="s">
        <v>574</v>
      </c>
      <c r="I413" s="46" t="s">
        <v>562</v>
      </c>
      <c r="J413" s="46">
        <v>1</v>
      </c>
      <c r="K413" s="101">
        <v>0.333333333333333</v>
      </c>
      <c r="L413" s="99"/>
      <c r="M413" s="99"/>
      <c r="N413" s="101">
        <v>0.333333333333333</v>
      </c>
      <c r="O413" s="46"/>
      <c r="P413" s="5"/>
    </row>
    <row r="414" ht="41.25" hidden="1" customHeight="1" outlineLevel="1" spans="2:16">
      <c r="B414" s="106" t="s">
        <v>804</v>
      </c>
      <c r="C414" s="47"/>
      <c r="D414" s="47"/>
      <c r="E414" s="100" t="s">
        <v>403</v>
      </c>
      <c r="F414" s="47"/>
      <c r="G414" s="47" t="s">
        <v>576</v>
      </c>
      <c r="H414" s="61" t="s">
        <v>577</v>
      </c>
      <c r="I414" s="46" t="s">
        <v>562</v>
      </c>
      <c r="J414" s="46">
        <v>1</v>
      </c>
      <c r="K414" s="101">
        <v>2</v>
      </c>
      <c r="L414" s="99"/>
      <c r="M414" s="99"/>
      <c r="N414" s="101">
        <v>2</v>
      </c>
      <c r="O414" s="46"/>
      <c r="P414" s="5"/>
    </row>
    <row r="415" ht="17.25" hidden="1" customHeight="1" outlineLevel="1" spans="2:16">
      <c r="B415" s="106" t="s">
        <v>805</v>
      </c>
      <c r="C415" s="47"/>
      <c r="D415" s="47"/>
      <c r="E415" s="100" t="s">
        <v>403</v>
      </c>
      <c r="F415" s="47"/>
      <c r="G415" s="47" t="s">
        <v>579</v>
      </c>
      <c r="H415" s="47" t="s">
        <v>580</v>
      </c>
      <c r="I415" s="46" t="s">
        <v>562</v>
      </c>
      <c r="J415" s="46">
        <v>1</v>
      </c>
      <c r="K415" s="101">
        <v>0.5</v>
      </c>
      <c r="L415" s="99"/>
      <c r="M415" s="99"/>
      <c r="N415" s="101">
        <v>0.5</v>
      </c>
      <c r="O415" s="46"/>
      <c r="P415" s="5"/>
    </row>
    <row r="416" ht="27.75" hidden="1" customHeight="1" outlineLevel="1" spans="2:16">
      <c r="B416" s="106" t="s">
        <v>806</v>
      </c>
      <c r="C416" s="47"/>
      <c r="D416" s="47"/>
      <c r="E416" s="100" t="s">
        <v>403</v>
      </c>
      <c r="F416" s="47"/>
      <c r="G416" s="47" t="s">
        <v>582</v>
      </c>
      <c r="H416" s="61" t="s">
        <v>583</v>
      </c>
      <c r="I416" s="46" t="s">
        <v>562</v>
      </c>
      <c r="J416" s="46">
        <v>1</v>
      </c>
      <c r="K416" s="101">
        <v>2</v>
      </c>
      <c r="L416" s="99"/>
      <c r="M416" s="99"/>
      <c r="N416" s="101">
        <v>2</v>
      </c>
      <c r="O416" s="46"/>
      <c r="P416" s="5"/>
    </row>
    <row r="417" ht="27.75" hidden="1" customHeight="1" outlineLevel="1" spans="2:16">
      <c r="B417" s="106" t="s">
        <v>807</v>
      </c>
      <c r="C417" s="47"/>
      <c r="D417" s="47"/>
      <c r="E417" s="100" t="s">
        <v>403</v>
      </c>
      <c r="F417" s="47"/>
      <c r="G417" s="47" t="s">
        <v>585</v>
      </c>
      <c r="H417" s="61" t="s">
        <v>586</v>
      </c>
      <c r="I417" s="46" t="s">
        <v>562</v>
      </c>
      <c r="J417" s="46">
        <v>1</v>
      </c>
      <c r="K417" s="101">
        <v>1</v>
      </c>
      <c r="L417" s="99"/>
      <c r="M417" s="99"/>
      <c r="N417" s="101">
        <v>1</v>
      </c>
      <c r="O417" s="46"/>
      <c r="P417" s="5"/>
    </row>
    <row r="418" ht="68.25" hidden="1" customHeight="1" outlineLevel="1" spans="2:16">
      <c r="B418" s="106" t="s">
        <v>808</v>
      </c>
      <c r="C418" s="47"/>
      <c r="D418" s="47"/>
      <c r="E418" s="100" t="s">
        <v>403</v>
      </c>
      <c r="F418" s="47"/>
      <c r="G418" s="47" t="s">
        <v>588</v>
      </c>
      <c r="H418" s="61" t="s">
        <v>589</v>
      </c>
      <c r="I418" s="46" t="s">
        <v>562</v>
      </c>
      <c r="J418" s="46">
        <v>1</v>
      </c>
      <c r="K418" s="101">
        <v>1</v>
      </c>
      <c r="L418" s="99"/>
      <c r="M418" s="99"/>
      <c r="N418" s="101">
        <v>1</v>
      </c>
      <c r="O418" s="46"/>
      <c r="P418" s="5"/>
    </row>
    <row r="419" ht="68.25" hidden="1" customHeight="1" outlineLevel="1" spans="2:16">
      <c r="B419" s="106" t="s">
        <v>809</v>
      </c>
      <c r="C419" s="47"/>
      <c r="D419" s="47"/>
      <c r="E419" s="100" t="s">
        <v>403</v>
      </c>
      <c r="F419" s="47"/>
      <c r="G419" s="47" t="s">
        <v>591</v>
      </c>
      <c r="H419" s="61" t="s">
        <v>592</v>
      </c>
      <c r="I419" s="46" t="s">
        <v>562</v>
      </c>
      <c r="J419" s="46">
        <v>1</v>
      </c>
      <c r="K419" s="101">
        <v>0.1</v>
      </c>
      <c r="L419" s="99"/>
      <c r="M419" s="99"/>
      <c r="N419" s="101">
        <v>0.1</v>
      </c>
      <c r="O419" s="46"/>
      <c r="P419" s="5"/>
    </row>
    <row r="420" ht="108.75" hidden="1" customHeight="1" outlineLevel="1" spans="2:16">
      <c r="B420" s="106" t="s">
        <v>810</v>
      </c>
      <c r="C420" s="47"/>
      <c r="D420" s="47"/>
      <c r="E420" s="100" t="s">
        <v>403</v>
      </c>
      <c r="F420" s="47"/>
      <c r="G420" s="47" t="s">
        <v>594</v>
      </c>
      <c r="H420" s="61" t="s">
        <v>595</v>
      </c>
      <c r="I420" s="46" t="s">
        <v>562</v>
      </c>
      <c r="J420" s="46">
        <v>1</v>
      </c>
      <c r="K420" s="101">
        <v>0.25</v>
      </c>
      <c r="L420" s="99"/>
      <c r="M420" s="99"/>
      <c r="N420" s="101">
        <v>0.25</v>
      </c>
      <c r="O420" s="46"/>
      <c r="P420" s="5"/>
    </row>
    <row r="421" ht="54.75" hidden="1" customHeight="1" outlineLevel="1" spans="2:16">
      <c r="B421" s="106" t="s">
        <v>811</v>
      </c>
      <c r="C421" s="47"/>
      <c r="D421" s="47"/>
      <c r="E421" s="100" t="s">
        <v>403</v>
      </c>
      <c r="F421" s="47"/>
      <c r="G421" s="47" t="s">
        <v>597</v>
      </c>
      <c r="H421" s="61" t="s">
        <v>598</v>
      </c>
      <c r="I421" s="46" t="s">
        <v>562</v>
      </c>
      <c r="J421" s="46">
        <v>1</v>
      </c>
      <c r="K421" s="101">
        <v>0.166666666666667</v>
      </c>
      <c r="L421" s="99"/>
      <c r="M421" s="99"/>
      <c r="N421" s="101">
        <v>0.166666666666667</v>
      </c>
      <c r="O421" s="46"/>
      <c r="P421" s="5"/>
    </row>
    <row r="422" ht="41.25" hidden="1" customHeight="1" outlineLevel="1" spans="2:16">
      <c r="B422" s="106" t="s">
        <v>812</v>
      </c>
      <c r="C422" s="47"/>
      <c r="D422" s="47"/>
      <c r="E422" s="100" t="s">
        <v>403</v>
      </c>
      <c r="F422" s="47"/>
      <c r="G422" s="47" t="s">
        <v>600</v>
      </c>
      <c r="H422" s="61" t="s">
        <v>601</v>
      </c>
      <c r="I422" s="46" t="s">
        <v>562</v>
      </c>
      <c r="J422" s="46">
        <v>1</v>
      </c>
      <c r="K422" s="101">
        <v>0.25</v>
      </c>
      <c r="L422" s="99"/>
      <c r="M422" s="99"/>
      <c r="N422" s="101">
        <v>0.25</v>
      </c>
      <c r="O422" s="46"/>
      <c r="P422" s="5"/>
    </row>
    <row r="423" ht="27.75" hidden="1" customHeight="1" outlineLevel="1" spans="2:16">
      <c r="B423" s="106" t="s">
        <v>813</v>
      </c>
      <c r="C423" s="47"/>
      <c r="D423" s="47"/>
      <c r="E423" s="100" t="s">
        <v>403</v>
      </c>
      <c r="F423" s="47"/>
      <c r="G423" s="47" t="s">
        <v>603</v>
      </c>
      <c r="H423" s="61" t="s">
        <v>604</v>
      </c>
      <c r="I423" s="46" t="s">
        <v>562</v>
      </c>
      <c r="J423" s="46">
        <v>1</v>
      </c>
      <c r="K423" s="101">
        <v>0.5</v>
      </c>
      <c r="L423" s="99"/>
      <c r="M423" s="99"/>
      <c r="N423" s="101">
        <v>0.5</v>
      </c>
      <c r="O423" s="46"/>
      <c r="P423" s="5"/>
    </row>
    <row r="424" ht="162.75" hidden="1" customHeight="1" outlineLevel="1" spans="2:16">
      <c r="B424" s="106" t="s">
        <v>814</v>
      </c>
      <c r="C424" s="47"/>
      <c r="D424" s="47"/>
      <c r="E424" s="100" t="s">
        <v>403</v>
      </c>
      <c r="F424" s="47"/>
      <c r="G424" s="47" t="s">
        <v>606</v>
      </c>
      <c r="H424" s="61" t="s">
        <v>607</v>
      </c>
      <c r="I424" s="46" t="s">
        <v>562</v>
      </c>
      <c r="J424" s="46">
        <v>1</v>
      </c>
      <c r="K424" s="101">
        <v>1.33333333333333</v>
      </c>
      <c r="L424" s="99"/>
      <c r="M424" s="99"/>
      <c r="N424" s="101">
        <v>1.33333333333333</v>
      </c>
      <c r="O424" s="46"/>
      <c r="P424" s="5"/>
    </row>
    <row r="425" ht="18" customHeight="1" collapsed="1" spans="2:16">
      <c r="B425" s="99">
        <v>56</v>
      </c>
      <c r="C425" s="100" t="s">
        <v>39</v>
      </c>
      <c r="D425" s="100" t="s">
        <v>39</v>
      </c>
      <c r="E425" s="100" t="s">
        <v>403</v>
      </c>
      <c r="F425" s="100" t="s">
        <v>797</v>
      </c>
      <c r="G425" s="100" t="s">
        <v>798</v>
      </c>
      <c r="H425" s="100" t="s">
        <v>608</v>
      </c>
      <c r="I425" s="99" t="s">
        <v>58</v>
      </c>
      <c r="J425" s="99">
        <v>1</v>
      </c>
      <c r="K425" s="101">
        <f>SUM(K426:K442)</f>
        <v>8.675</v>
      </c>
      <c r="L425" s="99" t="s">
        <v>46</v>
      </c>
      <c r="M425" s="99" t="s">
        <v>46</v>
      </c>
      <c r="N425" s="101">
        <f>SUM(N426:N442)</f>
        <v>8.675</v>
      </c>
      <c r="O425" s="99" t="s">
        <v>46</v>
      </c>
      <c r="P425" s="102" t="s">
        <v>558</v>
      </c>
    </row>
    <row r="426" ht="27.75" hidden="1" customHeight="1" outlineLevel="1" spans="2:16">
      <c r="B426" s="115" t="s">
        <v>815</v>
      </c>
      <c r="C426" s="100"/>
      <c r="D426" s="100"/>
      <c r="E426" s="100" t="s">
        <v>403</v>
      </c>
      <c r="F426" s="100"/>
      <c r="G426" s="100" t="s">
        <v>106</v>
      </c>
      <c r="H426" s="116" t="s">
        <v>816</v>
      </c>
      <c r="I426" s="99" t="s">
        <v>58</v>
      </c>
      <c r="J426" s="99">
        <v>1</v>
      </c>
      <c r="K426" s="101">
        <v>0.333333333333333</v>
      </c>
      <c r="L426" s="99"/>
      <c r="M426" s="99"/>
      <c r="N426" s="101">
        <v>0.333333333333333</v>
      </c>
      <c r="O426" s="99"/>
      <c r="P426" s="102"/>
    </row>
    <row r="427" ht="54.75" hidden="1" customHeight="1" outlineLevel="1" spans="2:16">
      <c r="B427" s="115" t="s">
        <v>817</v>
      </c>
      <c r="C427" s="100"/>
      <c r="D427" s="100"/>
      <c r="E427" s="100" t="s">
        <v>403</v>
      </c>
      <c r="F427" s="100"/>
      <c r="G427" s="100" t="s">
        <v>818</v>
      </c>
      <c r="H427" s="116" t="s">
        <v>819</v>
      </c>
      <c r="I427" s="99" t="s">
        <v>58</v>
      </c>
      <c r="J427" s="99">
        <v>1</v>
      </c>
      <c r="K427" s="101">
        <v>1</v>
      </c>
      <c r="L427" s="99"/>
      <c r="M427" s="99"/>
      <c r="N427" s="101">
        <v>1</v>
      </c>
      <c r="O427" s="99"/>
      <c r="P427" s="102"/>
    </row>
    <row r="428" ht="54.75" hidden="1" customHeight="1" outlineLevel="1" spans="2:16">
      <c r="B428" s="115" t="s">
        <v>820</v>
      </c>
      <c r="C428" s="100"/>
      <c r="D428" s="100"/>
      <c r="E428" s="100" t="s">
        <v>403</v>
      </c>
      <c r="F428" s="100"/>
      <c r="G428" s="100" t="s">
        <v>610</v>
      </c>
      <c r="H428" s="116" t="s">
        <v>821</v>
      </c>
      <c r="I428" s="99" t="s">
        <v>58</v>
      </c>
      <c r="J428" s="99">
        <v>1</v>
      </c>
      <c r="K428" s="101">
        <v>3</v>
      </c>
      <c r="L428" s="99"/>
      <c r="M428" s="99"/>
      <c r="N428" s="101">
        <v>3</v>
      </c>
      <c r="O428" s="99"/>
      <c r="P428" s="102"/>
    </row>
    <row r="429" ht="81.75" hidden="1" customHeight="1" outlineLevel="1" spans="2:16">
      <c r="B429" s="115" t="s">
        <v>822</v>
      </c>
      <c r="C429" s="100"/>
      <c r="D429" s="100"/>
      <c r="E429" s="100" t="s">
        <v>403</v>
      </c>
      <c r="F429" s="100"/>
      <c r="G429" s="100" t="s">
        <v>823</v>
      </c>
      <c r="H429" s="116" t="s">
        <v>824</v>
      </c>
      <c r="I429" s="99" t="s">
        <v>58</v>
      </c>
      <c r="J429" s="99">
        <v>1</v>
      </c>
      <c r="K429" s="101">
        <v>0.5</v>
      </c>
      <c r="L429" s="99"/>
      <c r="M429" s="99"/>
      <c r="N429" s="101">
        <v>0.5</v>
      </c>
      <c r="O429" s="99"/>
      <c r="P429" s="102"/>
    </row>
    <row r="430" ht="27.75" hidden="1" customHeight="1" outlineLevel="1" spans="2:16">
      <c r="B430" s="115" t="s">
        <v>825</v>
      </c>
      <c r="C430" s="100"/>
      <c r="D430" s="100"/>
      <c r="E430" s="100" t="s">
        <v>403</v>
      </c>
      <c r="F430" s="100"/>
      <c r="G430" s="100" t="s">
        <v>826</v>
      </c>
      <c r="H430" s="116" t="s">
        <v>827</v>
      </c>
      <c r="I430" s="99" t="s">
        <v>58</v>
      </c>
      <c r="J430" s="99">
        <v>1</v>
      </c>
      <c r="K430" s="101">
        <v>0</v>
      </c>
      <c r="L430" s="99"/>
      <c r="M430" s="99"/>
      <c r="N430" s="101">
        <v>0</v>
      </c>
      <c r="O430" s="99"/>
      <c r="P430" s="102"/>
    </row>
    <row r="431" ht="17.25" hidden="1" customHeight="1" outlineLevel="1" spans="2:16">
      <c r="B431" s="115" t="s">
        <v>828</v>
      </c>
      <c r="C431" s="100"/>
      <c r="D431" s="100"/>
      <c r="E431" s="100" t="s">
        <v>403</v>
      </c>
      <c r="F431" s="100"/>
      <c r="G431" s="100" t="s">
        <v>829</v>
      </c>
      <c r="H431" s="100" t="s">
        <v>830</v>
      </c>
      <c r="I431" s="99" t="s">
        <v>58</v>
      </c>
      <c r="J431" s="99">
        <v>1</v>
      </c>
      <c r="K431" s="101">
        <v>0.05</v>
      </c>
      <c r="L431" s="99"/>
      <c r="M431" s="99"/>
      <c r="N431" s="101">
        <v>0.05</v>
      </c>
      <c r="O431" s="99"/>
      <c r="P431" s="102"/>
    </row>
    <row r="432" ht="41.25" hidden="1" customHeight="1" outlineLevel="1" spans="2:16">
      <c r="B432" s="115" t="s">
        <v>831</v>
      </c>
      <c r="C432" s="100"/>
      <c r="D432" s="100"/>
      <c r="E432" s="100" t="s">
        <v>403</v>
      </c>
      <c r="F432" s="100"/>
      <c r="G432" s="100" t="s">
        <v>626</v>
      </c>
      <c r="H432" s="116" t="s">
        <v>832</v>
      </c>
      <c r="I432" s="99" t="s">
        <v>58</v>
      </c>
      <c r="J432" s="99">
        <v>1</v>
      </c>
      <c r="K432" s="101">
        <v>1</v>
      </c>
      <c r="L432" s="99"/>
      <c r="M432" s="99"/>
      <c r="N432" s="101">
        <v>1</v>
      </c>
      <c r="O432" s="99"/>
      <c r="P432" s="102"/>
    </row>
    <row r="433" ht="54.75" hidden="1" customHeight="1" outlineLevel="1" spans="2:16">
      <c r="B433" s="115" t="s">
        <v>833</v>
      </c>
      <c r="C433" s="100"/>
      <c r="D433" s="100"/>
      <c r="E433" s="100" t="s">
        <v>403</v>
      </c>
      <c r="F433" s="100"/>
      <c r="G433" s="100" t="s">
        <v>834</v>
      </c>
      <c r="H433" s="116" t="s">
        <v>835</v>
      </c>
      <c r="I433" s="99" t="s">
        <v>58</v>
      </c>
      <c r="J433" s="99">
        <v>1</v>
      </c>
      <c r="K433" s="101">
        <v>0.5</v>
      </c>
      <c r="L433" s="99"/>
      <c r="M433" s="99"/>
      <c r="N433" s="101">
        <v>0.5</v>
      </c>
      <c r="O433" s="99"/>
      <c r="P433" s="102"/>
    </row>
    <row r="434" ht="41.25" hidden="1" customHeight="1" outlineLevel="1" spans="2:16">
      <c r="B434" s="115" t="s">
        <v>836</v>
      </c>
      <c r="C434" s="100"/>
      <c r="D434" s="100"/>
      <c r="E434" s="100" t="s">
        <v>403</v>
      </c>
      <c r="F434" s="100"/>
      <c r="G434" s="100" t="s">
        <v>837</v>
      </c>
      <c r="H434" s="116" t="s">
        <v>838</v>
      </c>
      <c r="I434" s="99" t="s">
        <v>58</v>
      </c>
      <c r="J434" s="99">
        <v>1</v>
      </c>
      <c r="K434" s="101">
        <v>0.5</v>
      </c>
      <c r="L434" s="99"/>
      <c r="M434" s="99"/>
      <c r="N434" s="101">
        <v>0.5</v>
      </c>
      <c r="O434" s="99"/>
      <c r="P434" s="102"/>
    </row>
    <row r="435" ht="41.25" hidden="1" customHeight="1" outlineLevel="1" spans="2:16">
      <c r="B435" s="115" t="s">
        <v>839</v>
      </c>
      <c r="C435" s="100"/>
      <c r="D435" s="100"/>
      <c r="E435" s="100" t="s">
        <v>403</v>
      </c>
      <c r="F435" s="100"/>
      <c r="G435" s="100" t="s">
        <v>840</v>
      </c>
      <c r="H435" s="116" t="s">
        <v>841</v>
      </c>
      <c r="I435" s="99" t="s">
        <v>58</v>
      </c>
      <c r="J435" s="99">
        <v>1</v>
      </c>
      <c r="K435" s="101">
        <v>0.5</v>
      </c>
      <c r="L435" s="99"/>
      <c r="M435" s="99"/>
      <c r="N435" s="101">
        <v>0.5</v>
      </c>
      <c r="O435" s="99"/>
      <c r="P435" s="102"/>
    </row>
    <row r="436" ht="27.75" hidden="1" customHeight="1" outlineLevel="1" spans="2:16">
      <c r="B436" s="115" t="s">
        <v>842</v>
      </c>
      <c r="C436" s="100"/>
      <c r="D436" s="100"/>
      <c r="E436" s="100" t="s">
        <v>403</v>
      </c>
      <c r="F436" s="100"/>
      <c r="G436" s="100" t="s">
        <v>843</v>
      </c>
      <c r="H436" s="116" t="s">
        <v>844</v>
      </c>
      <c r="I436" s="99" t="s">
        <v>58</v>
      </c>
      <c r="J436" s="99">
        <v>1</v>
      </c>
      <c r="K436" s="101">
        <v>0.5</v>
      </c>
      <c r="L436" s="99"/>
      <c r="M436" s="99"/>
      <c r="N436" s="101">
        <v>0.5</v>
      </c>
      <c r="O436" s="99"/>
      <c r="P436" s="102"/>
    </row>
    <row r="437" ht="27.75" hidden="1" customHeight="1" outlineLevel="1" spans="2:16">
      <c r="B437" s="115" t="s">
        <v>845</v>
      </c>
      <c r="C437" s="100"/>
      <c r="D437" s="100"/>
      <c r="E437" s="100" t="s">
        <v>403</v>
      </c>
      <c r="F437" s="100"/>
      <c r="G437" s="100" t="s">
        <v>585</v>
      </c>
      <c r="H437" s="116" t="s">
        <v>846</v>
      </c>
      <c r="I437" s="99" t="s">
        <v>58</v>
      </c>
      <c r="J437" s="99">
        <v>1</v>
      </c>
      <c r="K437" s="101">
        <v>0.5</v>
      </c>
      <c r="L437" s="99"/>
      <c r="M437" s="99"/>
      <c r="N437" s="101">
        <v>0.5</v>
      </c>
      <c r="O437" s="99"/>
      <c r="P437" s="102"/>
    </row>
    <row r="438" ht="17.25" hidden="1" customHeight="1" outlineLevel="1" spans="2:16">
      <c r="B438" s="115" t="s">
        <v>847</v>
      </c>
      <c r="C438" s="100"/>
      <c r="D438" s="100"/>
      <c r="E438" s="100" t="s">
        <v>403</v>
      </c>
      <c r="F438" s="100"/>
      <c r="G438" s="100" t="s">
        <v>848</v>
      </c>
      <c r="H438" s="100" t="s">
        <v>849</v>
      </c>
      <c r="I438" s="99" t="s">
        <v>58</v>
      </c>
      <c r="J438" s="99">
        <v>1</v>
      </c>
      <c r="K438" s="101">
        <v>0.0833333333333333</v>
      </c>
      <c r="L438" s="99"/>
      <c r="M438" s="99"/>
      <c r="N438" s="101">
        <v>0.0833333333333333</v>
      </c>
      <c r="O438" s="99"/>
      <c r="P438" s="102"/>
    </row>
    <row r="439" ht="17.25" hidden="1" customHeight="1" outlineLevel="1" spans="2:16">
      <c r="B439" s="115" t="s">
        <v>850</v>
      </c>
      <c r="C439" s="100"/>
      <c r="D439" s="100"/>
      <c r="E439" s="100" t="s">
        <v>403</v>
      </c>
      <c r="F439" s="100"/>
      <c r="G439" s="100" t="s">
        <v>851</v>
      </c>
      <c r="H439" s="100" t="s">
        <v>852</v>
      </c>
      <c r="I439" s="99" t="s">
        <v>58</v>
      </c>
      <c r="J439" s="99">
        <v>1</v>
      </c>
      <c r="K439" s="101">
        <v>0</v>
      </c>
      <c r="L439" s="99"/>
      <c r="M439" s="99"/>
      <c r="N439" s="101">
        <v>0</v>
      </c>
      <c r="O439" s="99"/>
      <c r="P439" s="102"/>
    </row>
    <row r="440" ht="17.25" hidden="1" customHeight="1" outlineLevel="1" spans="2:16">
      <c r="B440" s="115" t="s">
        <v>853</v>
      </c>
      <c r="C440" s="100"/>
      <c r="D440" s="100"/>
      <c r="E440" s="100" t="s">
        <v>403</v>
      </c>
      <c r="F440" s="100"/>
      <c r="G440" s="100" t="s">
        <v>612</v>
      </c>
      <c r="H440" s="100" t="s">
        <v>613</v>
      </c>
      <c r="I440" s="99" t="s">
        <v>58</v>
      </c>
      <c r="J440" s="99">
        <v>1</v>
      </c>
      <c r="K440" s="101">
        <v>0</v>
      </c>
      <c r="L440" s="99"/>
      <c r="M440" s="99"/>
      <c r="N440" s="101">
        <v>0</v>
      </c>
      <c r="O440" s="99"/>
      <c r="P440" s="102"/>
    </row>
    <row r="441" ht="17.25" hidden="1" customHeight="1" outlineLevel="1" spans="2:16">
      <c r="B441" s="115" t="s">
        <v>854</v>
      </c>
      <c r="C441" s="100"/>
      <c r="D441" s="100"/>
      <c r="E441" s="100" t="s">
        <v>403</v>
      </c>
      <c r="F441" s="100"/>
      <c r="G441" s="100" t="s">
        <v>855</v>
      </c>
      <c r="H441" s="100" t="s">
        <v>856</v>
      </c>
      <c r="I441" s="99" t="s">
        <v>58</v>
      </c>
      <c r="J441" s="99">
        <v>1</v>
      </c>
      <c r="K441" s="101">
        <v>0.166666666666667</v>
      </c>
      <c r="L441" s="99"/>
      <c r="M441" s="99"/>
      <c r="N441" s="101">
        <v>0.166666666666667</v>
      </c>
      <c r="O441" s="99"/>
      <c r="P441" s="102"/>
    </row>
    <row r="442" ht="17.25" hidden="1" customHeight="1" outlineLevel="1" spans="2:16">
      <c r="B442" s="115" t="s">
        <v>857</v>
      </c>
      <c r="C442" s="100"/>
      <c r="D442" s="100"/>
      <c r="E442" s="100" t="s">
        <v>403</v>
      </c>
      <c r="F442" s="100"/>
      <c r="G442" s="100" t="s">
        <v>614</v>
      </c>
      <c r="H442" s="100" t="s">
        <v>615</v>
      </c>
      <c r="I442" s="99" t="s">
        <v>58</v>
      </c>
      <c r="J442" s="99">
        <v>1</v>
      </c>
      <c r="K442" s="101">
        <v>0.0416666666666667</v>
      </c>
      <c r="L442" s="99"/>
      <c r="M442" s="99"/>
      <c r="N442" s="101">
        <v>0.0416666666666667</v>
      </c>
      <c r="O442" s="99"/>
      <c r="P442" s="102"/>
    </row>
    <row r="443" ht="18" customHeight="1" collapsed="1" spans="2:16">
      <c r="B443" s="99">
        <v>57</v>
      </c>
      <c r="C443" s="100" t="s">
        <v>39</v>
      </c>
      <c r="D443" s="100" t="s">
        <v>39</v>
      </c>
      <c r="E443" s="100" t="s">
        <v>403</v>
      </c>
      <c r="F443" s="100" t="s">
        <v>797</v>
      </c>
      <c r="G443" s="100" t="s">
        <v>798</v>
      </c>
      <c r="H443" s="100" t="s">
        <v>616</v>
      </c>
      <c r="I443" s="99" t="s">
        <v>562</v>
      </c>
      <c r="J443" s="99">
        <v>1</v>
      </c>
      <c r="K443" s="101">
        <f>SUM(K444:K458)</f>
        <v>18.5833333333333</v>
      </c>
      <c r="L443" s="99" t="s">
        <v>46</v>
      </c>
      <c r="M443" s="99" t="s">
        <v>46</v>
      </c>
      <c r="N443" s="101">
        <f>SUM(N444:N458)</f>
        <v>20.65</v>
      </c>
      <c r="O443" s="99" t="s">
        <v>46</v>
      </c>
      <c r="P443" s="102" t="s">
        <v>558</v>
      </c>
    </row>
    <row r="444" ht="27.75" hidden="1" customHeight="1" outlineLevel="1" spans="2:16">
      <c r="B444" s="106" t="s">
        <v>858</v>
      </c>
      <c r="C444" s="47"/>
      <c r="D444" s="47"/>
      <c r="E444" s="47"/>
      <c r="F444" s="47"/>
      <c r="G444" s="47" t="s">
        <v>585</v>
      </c>
      <c r="H444" s="61" t="s">
        <v>618</v>
      </c>
      <c r="I444" s="46" t="s">
        <v>58</v>
      </c>
      <c r="J444" s="46">
        <v>1</v>
      </c>
      <c r="K444" s="98">
        <v>1</v>
      </c>
      <c r="L444" s="46" t="s">
        <v>46</v>
      </c>
      <c r="M444" s="46" t="s">
        <v>46</v>
      </c>
      <c r="N444" s="98">
        <v>1</v>
      </c>
      <c r="O444" s="46"/>
      <c r="P444" s="5"/>
    </row>
    <row r="445" ht="41.25" hidden="1" customHeight="1" outlineLevel="1" spans="2:16">
      <c r="B445" s="106" t="s">
        <v>859</v>
      </c>
      <c r="C445" s="47"/>
      <c r="D445" s="47"/>
      <c r="E445" s="47"/>
      <c r="F445" s="47"/>
      <c r="G445" s="47" t="s">
        <v>620</v>
      </c>
      <c r="H445" s="61" t="s">
        <v>621</v>
      </c>
      <c r="I445" s="46" t="s">
        <v>58</v>
      </c>
      <c r="J445" s="46">
        <v>1</v>
      </c>
      <c r="K445" s="98">
        <v>0.25</v>
      </c>
      <c r="L445" s="46"/>
      <c r="M445" s="46"/>
      <c r="N445" s="98">
        <v>0.5</v>
      </c>
      <c r="O445" s="46"/>
      <c r="P445" s="5"/>
    </row>
    <row r="446" ht="81.75" hidden="1" customHeight="1" outlineLevel="1" spans="2:16">
      <c r="B446" s="106" t="s">
        <v>860</v>
      </c>
      <c r="C446" s="47"/>
      <c r="D446" s="47"/>
      <c r="E446" s="47"/>
      <c r="F446" s="47"/>
      <c r="G446" s="47" t="s">
        <v>623</v>
      </c>
      <c r="H446" s="61" t="s">
        <v>624</v>
      </c>
      <c r="I446" s="46" t="s">
        <v>58</v>
      </c>
      <c r="J446" s="46">
        <v>1</v>
      </c>
      <c r="K446" s="98">
        <v>3</v>
      </c>
      <c r="L446" s="46"/>
      <c r="M446" s="46"/>
      <c r="N446" s="98">
        <v>3</v>
      </c>
      <c r="O446" s="46"/>
      <c r="P446" s="5"/>
    </row>
    <row r="447" ht="68.25" hidden="1" customHeight="1" outlineLevel="1" spans="2:16">
      <c r="B447" s="106" t="s">
        <v>861</v>
      </c>
      <c r="C447" s="47"/>
      <c r="D447" s="47"/>
      <c r="E447" s="47"/>
      <c r="F447" s="47"/>
      <c r="G447" s="47" t="s">
        <v>626</v>
      </c>
      <c r="H447" s="61" t="s">
        <v>627</v>
      </c>
      <c r="I447" s="46" t="s">
        <v>58</v>
      </c>
      <c r="J447" s="46">
        <v>1</v>
      </c>
      <c r="K447" s="98">
        <v>2</v>
      </c>
      <c r="L447" s="46"/>
      <c r="M447" s="46"/>
      <c r="N447" s="98">
        <v>2</v>
      </c>
      <c r="O447" s="46"/>
      <c r="P447" s="5"/>
    </row>
    <row r="448" ht="54.75" hidden="1" customHeight="1" outlineLevel="1" spans="2:16">
      <c r="B448" s="106" t="s">
        <v>862</v>
      </c>
      <c r="C448" s="47"/>
      <c r="D448" s="47"/>
      <c r="E448" s="47"/>
      <c r="F448" s="47"/>
      <c r="G448" s="47" t="s">
        <v>629</v>
      </c>
      <c r="H448" s="61" t="s">
        <v>630</v>
      </c>
      <c r="I448" s="46" t="s">
        <v>58</v>
      </c>
      <c r="J448" s="46">
        <v>1</v>
      </c>
      <c r="K448" s="98">
        <v>1</v>
      </c>
      <c r="L448" s="46"/>
      <c r="M448" s="46"/>
      <c r="N448" s="98">
        <v>1</v>
      </c>
      <c r="O448" s="46"/>
      <c r="P448" s="5"/>
    </row>
    <row r="449" ht="27.75" hidden="1" customHeight="1" outlineLevel="1" spans="2:16">
      <c r="B449" s="106" t="s">
        <v>863</v>
      </c>
      <c r="C449" s="47"/>
      <c r="D449" s="47"/>
      <c r="E449" s="47"/>
      <c r="F449" s="47"/>
      <c r="G449" s="47" t="s">
        <v>632</v>
      </c>
      <c r="H449" s="61" t="s">
        <v>633</v>
      </c>
      <c r="I449" s="46" t="s">
        <v>58</v>
      </c>
      <c r="J449" s="46">
        <v>1</v>
      </c>
      <c r="K449" s="98">
        <v>0.25</v>
      </c>
      <c r="L449" s="46"/>
      <c r="M449" s="46"/>
      <c r="N449" s="98">
        <v>0.5</v>
      </c>
      <c r="O449" s="46"/>
      <c r="P449" s="5"/>
    </row>
    <row r="450" ht="122.25" hidden="1" customHeight="1" outlineLevel="1" spans="2:16">
      <c r="B450" s="106" t="s">
        <v>864</v>
      </c>
      <c r="C450" s="47"/>
      <c r="D450" s="47"/>
      <c r="E450" s="47"/>
      <c r="F450" s="47"/>
      <c r="G450" s="47" t="s">
        <v>635</v>
      </c>
      <c r="H450" s="61" t="s">
        <v>636</v>
      </c>
      <c r="I450" s="46" t="s">
        <v>58</v>
      </c>
      <c r="J450" s="46">
        <v>1</v>
      </c>
      <c r="K450" s="98">
        <v>3</v>
      </c>
      <c r="L450" s="46"/>
      <c r="M450" s="46"/>
      <c r="N450" s="98">
        <v>3.5</v>
      </c>
      <c r="O450" s="46"/>
      <c r="P450" s="5"/>
    </row>
    <row r="451" hidden="1" customHeight="1" outlineLevel="1" spans="2:16">
      <c r="B451" s="106" t="s">
        <v>865</v>
      </c>
      <c r="C451" s="47"/>
      <c r="D451" s="47"/>
      <c r="E451" s="47"/>
      <c r="F451" s="47"/>
      <c r="G451" s="47" t="s">
        <v>638</v>
      </c>
      <c r="H451" s="47" t="s">
        <v>639</v>
      </c>
      <c r="I451" s="46" t="s">
        <v>58</v>
      </c>
      <c r="J451" s="46">
        <v>1</v>
      </c>
      <c r="K451" s="98">
        <v>0.5</v>
      </c>
      <c r="L451" s="46"/>
      <c r="M451" s="46"/>
      <c r="N451" s="98">
        <v>0.75</v>
      </c>
      <c r="O451" s="46"/>
      <c r="P451" s="5"/>
    </row>
    <row r="452" ht="122.25" hidden="1" customHeight="1" outlineLevel="1" spans="2:16">
      <c r="B452" s="106" t="s">
        <v>866</v>
      </c>
      <c r="C452" s="47"/>
      <c r="D452" s="47"/>
      <c r="E452" s="47"/>
      <c r="F452" s="47"/>
      <c r="G452" s="47" t="s">
        <v>641</v>
      </c>
      <c r="H452" s="61" t="s">
        <v>642</v>
      </c>
      <c r="I452" s="46" t="s">
        <v>58</v>
      </c>
      <c r="J452" s="46">
        <v>1</v>
      </c>
      <c r="K452" s="98">
        <v>3</v>
      </c>
      <c r="L452" s="46"/>
      <c r="M452" s="46"/>
      <c r="N452" s="98">
        <v>3</v>
      </c>
      <c r="O452" s="46"/>
      <c r="P452" s="5"/>
    </row>
    <row r="453" hidden="1" customHeight="1" outlineLevel="1" spans="2:16">
      <c r="B453" s="106" t="s">
        <v>867</v>
      </c>
      <c r="C453" s="47"/>
      <c r="D453" s="47"/>
      <c r="E453" s="47"/>
      <c r="F453" s="47"/>
      <c r="G453" s="47" t="s">
        <v>644</v>
      </c>
      <c r="H453" s="47" t="s">
        <v>645</v>
      </c>
      <c r="I453" s="46" t="s">
        <v>58</v>
      </c>
      <c r="J453" s="46">
        <v>1</v>
      </c>
      <c r="K453" s="98">
        <v>0.666666666666667</v>
      </c>
      <c r="L453" s="46"/>
      <c r="M453" s="46"/>
      <c r="N453" s="98">
        <v>0.75</v>
      </c>
      <c r="O453" s="46"/>
      <c r="P453" s="5"/>
    </row>
    <row r="454" ht="68.25" hidden="1" customHeight="1" outlineLevel="1" spans="2:16">
      <c r="B454" s="106" t="s">
        <v>868</v>
      </c>
      <c r="C454" s="47"/>
      <c r="D454" s="47"/>
      <c r="E454" s="47"/>
      <c r="F454" s="47"/>
      <c r="G454" s="47" t="s">
        <v>647</v>
      </c>
      <c r="H454" s="61" t="s">
        <v>648</v>
      </c>
      <c r="I454" s="46" t="s">
        <v>58</v>
      </c>
      <c r="J454" s="46">
        <v>1</v>
      </c>
      <c r="K454" s="98">
        <v>2</v>
      </c>
      <c r="L454" s="46"/>
      <c r="M454" s="46"/>
      <c r="N454" s="98">
        <v>2.5</v>
      </c>
      <c r="O454" s="46"/>
      <c r="P454" s="5"/>
    </row>
    <row r="455" ht="41.25" hidden="1" customHeight="1" outlineLevel="1" spans="2:16">
      <c r="B455" s="106" t="s">
        <v>869</v>
      </c>
      <c r="C455" s="47"/>
      <c r="D455" s="47"/>
      <c r="E455" s="47"/>
      <c r="F455" s="47"/>
      <c r="G455" s="47" t="s">
        <v>620</v>
      </c>
      <c r="H455" s="61" t="s">
        <v>650</v>
      </c>
      <c r="I455" s="46" t="s">
        <v>58</v>
      </c>
      <c r="J455" s="46">
        <v>1</v>
      </c>
      <c r="K455" s="98">
        <v>0.25</v>
      </c>
      <c r="L455" s="46"/>
      <c r="M455" s="46"/>
      <c r="N455" s="98">
        <v>0.25</v>
      </c>
      <c r="O455" s="46"/>
      <c r="P455" s="5"/>
    </row>
    <row r="456" ht="27.75" hidden="1" customHeight="1" outlineLevel="1" spans="2:16">
      <c r="B456" s="106" t="s">
        <v>870</v>
      </c>
      <c r="C456" s="47"/>
      <c r="D456" s="47"/>
      <c r="E456" s="47"/>
      <c r="F456" s="47"/>
      <c r="G456" s="47" t="s">
        <v>623</v>
      </c>
      <c r="H456" s="61" t="s">
        <v>652</v>
      </c>
      <c r="I456" s="46" t="s">
        <v>58</v>
      </c>
      <c r="J456" s="46">
        <v>1</v>
      </c>
      <c r="K456" s="98">
        <v>1</v>
      </c>
      <c r="L456" s="46"/>
      <c r="M456" s="46"/>
      <c r="N456" s="98">
        <v>1</v>
      </c>
      <c r="O456" s="46"/>
      <c r="P456" s="5"/>
    </row>
    <row r="457" ht="68.25" hidden="1" customHeight="1" outlineLevel="1" spans="2:16">
      <c r="B457" s="106" t="s">
        <v>871</v>
      </c>
      <c r="C457" s="47"/>
      <c r="D457" s="47"/>
      <c r="E457" s="47"/>
      <c r="F457" s="47"/>
      <c r="G457" s="47" t="s">
        <v>647</v>
      </c>
      <c r="H457" s="61" t="s">
        <v>654</v>
      </c>
      <c r="I457" s="46" t="s">
        <v>58</v>
      </c>
      <c r="J457" s="46">
        <v>1</v>
      </c>
      <c r="K457" s="98">
        <v>0.333333333333334</v>
      </c>
      <c r="L457" s="46"/>
      <c r="M457" s="46"/>
      <c r="N457" s="98">
        <v>0.45</v>
      </c>
      <c r="O457" s="46"/>
      <c r="P457" s="5"/>
    </row>
    <row r="458" ht="68.25" hidden="1" customHeight="1" outlineLevel="1" spans="2:16">
      <c r="B458" s="106" t="s">
        <v>872</v>
      </c>
      <c r="C458" s="47"/>
      <c r="D458" s="47"/>
      <c r="E458" s="47"/>
      <c r="F458" s="47"/>
      <c r="G458" s="47" t="s">
        <v>626</v>
      </c>
      <c r="H458" s="61" t="s">
        <v>656</v>
      </c>
      <c r="I458" s="46" t="s">
        <v>58</v>
      </c>
      <c r="J458" s="46">
        <v>1</v>
      </c>
      <c r="K458" s="98">
        <v>0.333333333333333</v>
      </c>
      <c r="L458" s="46"/>
      <c r="M458" s="46"/>
      <c r="N458" s="98">
        <v>0.45</v>
      </c>
      <c r="O458" s="46"/>
      <c r="P458" s="5"/>
    </row>
    <row r="459" hidden="1" customHeight="1" outlineLevel="1" spans="2:16">
      <c r="B459" s="106" t="s">
        <v>873</v>
      </c>
      <c r="C459" s="47"/>
      <c r="D459" s="47"/>
      <c r="E459" s="47"/>
      <c r="F459" s="47"/>
      <c r="G459" s="47" t="s">
        <v>658</v>
      </c>
      <c r="H459" s="47" t="s">
        <v>659</v>
      </c>
      <c r="I459" s="46" t="s">
        <v>58</v>
      </c>
      <c r="J459" s="46">
        <v>1</v>
      </c>
      <c r="K459" s="98">
        <v>0.5</v>
      </c>
      <c r="L459" s="46"/>
      <c r="M459" s="46"/>
      <c r="N459" s="98">
        <v>0.5</v>
      </c>
      <c r="O459" s="46"/>
      <c r="P459" s="5"/>
    </row>
    <row r="460" ht="18" customHeight="1" spans="2:16">
      <c r="B460" s="99">
        <v>58</v>
      </c>
      <c r="C460" s="100" t="s">
        <v>39</v>
      </c>
      <c r="D460" s="100" t="s">
        <v>68</v>
      </c>
      <c r="E460" s="100" t="s">
        <v>403</v>
      </c>
      <c r="F460" s="100" t="s">
        <v>874</v>
      </c>
      <c r="G460" s="100" t="s">
        <v>875</v>
      </c>
      <c r="H460" s="100" t="s">
        <v>70</v>
      </c>
      <c r="I460" s="99" t="s">
        <v>71</v>
      </c>
      <c r="J460" s="99">
        <v>1</v>
      </c>
      <c r="K460" s="101">
        <v>8</v>
      </c>
      <c r="L460" s="99"/>
      <c r="M460" s="99"/>
      <c r="N460" s="99">
        <f>$K460*1.35</f>
        <v>10.8</v>
      </c>
      <c r="O460" s="99" t="s">
        <v>46</v>
      </c>
      <c r="P460" s="102" t="s">
        <v>72</v>
      </c>
    </row>
    <row r="461" ht="18" customHeight="1" spans="2:16">
      <c r="B461" s="99">
        <v>59</v>
      </c>
      <c r="C461" s="100" t="s">
        <v>39</v>
      </c>
      <c r="D461" s="100" t="s">
        <v>68</v>
      </c>
      <c r="E461" s="100" t="s">
        <v>403</v>
      </c>
      <c r="F461" s="100" t="s">
        <v>874</v>
      </c>
      <c r="G461" s="100" t="s">
        <v>876</v>
      </c>
      <c r="H461" s="100" t="s">
        <v>74</v>
      </c>
      <c r="I461" s="99" t="s">
        <v>71</v>
      </c>
      <c r="J461" s="99">
        <v>1</v>
      </c>
      <c r="K461" s="101">
        <v>6</v>
      </c>
      <c r="L461" s="99" t="s">
        <v>46</v>
      </c>
      <c r="M461" s="99" t="s">
        <v>46</v>
      </c>
      <c r="N461" s="99">
        <f>$K461*1.35</f>
        <v>8.1</v>
      </c>
      <c r="O461" s="99" t="s">
        <v>46</v>
      </c>
      <c r="P461" s="102" t="s">
        <v>72</v>
      </c>
    </row>
    <row r="462" ht="18" customHeight="1" spans="2:16">
      <c r="B462" s="99">
        <v>60</v>
      </c>
      <c r="C462" s="100" t="s">
        <v>39</v>
      </c>
      <c r="D462" s="100" t="s">
        <v>68</v>
      </c>
      <c r="E462" s="100" t="s">
        <v>403</v>
      </c>
      <c r="F462" s="100" t="s">
        <v>874</v>
      </c>
      <c r="G462" s="100" t="s">
        <v>877</v>
      </c>
      <c r="H462" s="100" t="s">
        <v>76</v>
      </c>
      <c r="I462" s="99" t="s">
        <v>71</v>
      </c>
      <c r="J462" s="99">
        <v>1</v>
      </c>
      <c r="K462" s="101">
        <v>4</v>
      </c>
      <c r="L462" s="99"/>
      <c r="M462" s="99"/>
      <c r="N462" s="99">
        <f>$K462*1.35</f>
        <v>5.4</v>
      </c>
      <c r="O462" s="99" t="s">
        <v>46</v>
      </c>
      <c r="P462" s="102" t="s">
        <v>72</v>
      </c>
    </row>
    <row r="463" ht="18" customHeight="1" spans="2:16">
      <c r="B463" s="99">
        <v>61</v>
      </c>
      <c r="C463" s="100" t="s">
        <v>39</v>
      </c>
      <c r="D463" s="100" t="s">
        <v>68</v>
      </c>
      <c r="E463" s="100" t="s">
        <v>403</v>
      </c>
      <c r="F463" s="100" t="s">
        <v>874</v>
      </c>
      <c r="G463" s="100" t="s">
        <v>878</v>
      </c>
      <c r="H463" s="100" t="s">
        <v>78</v>
      </c>
      <c r="I463" s="99" t="s">
        <v>71</v>
      </c>
      <c r="J463" s="99">
        <v>1</v>
      </c>
      <c r="K463" s="101">
        <v>2</v>
      </c>
      <c r="L463" s="99"/>
      <c r="M463" s="99"/>
      <c r="N463" s="99">
        <f>$K463*1.35</f>
        <v>2.7</v>
      </c>
      <c r="O463" s="99" t="s">
        <v>46</v>
      </c>
      <c r="P463" s="102" t="s">
        <v>72</v>
      </c>
    </row>
    <row r="464" ht="18" customHeight="1" collapsed="1" spans="2:16">
      <c r="B464" s="99">
        <v>62</v>
      </c>
      <c r="C464" s="100" t="s">
        <v>379</v>
      </c>
      <c r="D464" s="100" t="s">
        <v>379</v>
      </c>
      <c r="E464" s="100" t="s">
        <v>403</v>
      </c>
      <c r="F464" s="100" t="s">
        <v>874</v>
      </c>
      <c r="G464" s="100" t="s">
        <v>879</v>
      </c>
      <c r="H464" s="100"/>
      <c r="I464" s="99" t="s">
        <v>58</v>
      </c>
      <c r="J464" s="99"/>
      <c r="K464" s="101"/>
      <c r="L464" s="99"/>
      <c r="M464" s="99"/>
      <c r="N464" s="101"/>
      <c r="O464" s="99"/>
      <c r="P464" s="102" t="s">
        <v>383</v>
      </c>
    </row>
    <row r="465" hidden="1" customHeight="1" outlineLevel="1" spans="2:16">
      <c r="B465" s="57"/>
      <c r="C465" s="72"/>
      <c r="D465" s="72"/>
      <c r="E465" s="72"/>
      <c r="F465" s="72"/>
      <c r="G465" s="72" t="s">
        <v>879</v>
      </c>
      <c r="H465" s="72" t="s">
        <v>880</v>
      </c>
      <c r="I465" s="57"/>
      <c r="J465" s="117">
        <v>3</v>
      </c>
      <c r="K465" s="118"/>
      <c r="L465" s="57"/>
      <c r="M465" s="57"/>
      <c r="N465" s="118"/>
      <c r="O465" s="57"/>
      <c r="P465" s="119"/>
    </row>
    <row r="466" hidden="1" customHeight="1" outlineLevel="1" spans="2:16">
      <c r="B466" s="46"/>
      <c r="C466" s="47"/>
      <c r="D466" s="47"/>
      <c r="E466" s="47"/>
      <c r="F466" s="47"/>
      <c r="G466" s="47" t="s">
        <v>879</v>
      </c>
      <c r="H466" s="47" t="s">
        <v>881</v>
      </c>
      <c r="I466" s="46"/>
      <c r="J466" s="120">
        <v>8</v>
      </c>
      <c r="K466" s="98"/>
      <c r="L466" s="46"/>
      <c r="M466" s="46"/>
      <c r="N466" s="98"/>
      <c r="O466" s="46"/>
      <c r="P466" s="42"/>
    </row>
    <row r="467" hidden="1" customHeight="1" outlineLevel="1" spans="2:16">
      <c r="B467" s="46"/>
      <c r="C467" s="47"/>
      <c r="D467" s="47"/>
      <c r="E467" s="47"/>
      <c r="F467" s="47"/>
      <c r="G467" s="47" t="s">
        <v>879</v>
      </c>
      <c r="H467" s="47" t="s">
        <v>882</v>
      </c>
      <c r="I467" s="46"/>
      <c r="J467" s="120">
        <v>2</v>
      </c>
      <c r="K467" s="98"/>
      <c r="L467" s="46"/>
      <c r="M467" s="46"/>
      <c r="N467" s="98"/>
      <c r="O467" s="46"/>
      <c r="P467" s="42"/>
    </row>
    <row r="468" hidden="1" customHeight="1" outlineLevel="1" spans="2:16">
      <c r="B468" s="46"/>
      <c r="C468" s="47"/>
      <c r="D468" s="47"/>
      <c r="E468" s="47"/>
      <c r="F468" s="47"/>
      <c r="G468" s="47" t="s">
        <v>879</v>
      </c>
      <c r="H468" s="47" t="s">
        <v>883</v>
      </c>
      <c r="I468" s="46"/>
      <c r="J468" s="120">
        <v>0.66</v>
      </c>
      <c r="K468" s="98"/>
      <c r="L468" s="46"/>
      <c r="M468" s="46"/>
      <c r="N468" s="98"/>
      <c r="O468" s="46"/>
      <c r="P468" s="42"/>
    </row>
    <row r="469" hidden="1" customHeight="1" outlineLevel="1" spans="2:16">
      <c r="B469" s="46"/>
      <c r="C469" s="47"/>
      <c r="D469" s="47"/>
      <c r="E469" s="47"/>
      <c r="F469" s="47"/>
      <c r="G469" s="47" t="s">
        <v>879</v>
      </c>
      <c r="H469" s="47" t="s">
        <v>884</v>
      </c>
      <c r="I469" s="46"/>
      <c r="J469" s="120">
        <v>4</v>
      </c>
      <c r="K469" s="98"/>
      <c r="L469" s="46"/>
      <c r="M469" s="46"/>
      <c r="N469" s="98"/>
      <c r="O469" s="46"/>
      <c r="P469" s="42"/>
    </row>
    <row r="470" hidden="1" customHeight="1" outlineLevel="1" spans="2:16">
      <c r="B470" s="46"/>
      <c r="C470" s="47"/>
      <c r="D470" s="47"/>
      <c r="E470" s="47"/>
      <c r="F470" s="47"/>
      <c r="G470" s="47" t="s">
        <v>879</v>
      </c>
      <c r="H470" s="47" t="s">
        <v>885</v>
      </c>
      <c r="I470" s="46"/>
      <c r="J470" s="120">
        <v>2</v>
      </c>
      <c r="K470" s="98"/>
      <c r="L470" s="46"/>
      <c r="M470" s="46"/>
      <c r="N470" s="98"/>
      <c r="O470" s="46"/>
      <c r="P470" s="42"/>
    </row>
    <row r="471" hidden="1" customHeight="1" outlineLevel="1" spans="2:16">
      <c r="B471" s="46"/>
      <c r="C471" s="47"/>
      <c r="D471" s="47"/>
      <c r="E471" s="47"/>
      <c r="F471" s="47"/>
      <c r="G471" s="47" t="s">
        <v>879</v>
      </c>
      <c r="H471" s="47" t="s">
        <v>886</v>
      </c>
      <c r="I471" s="46"/>
      <c r="J471" s="120">
        <v>8</v>
      </c>
      <c r="K471" s="98"/>
      <c r="L471" s="46"/>
      <c r="M471" s="46"/>
      <c r="N471" s="98"/>
      <c r="O471" s="46"/>
      <c r="P471" s="42"/>
    </row>
    <row r="472" hidden="1" customHeight="1" outlineLevel="1" spans="2:16">
      <c r="B472" s="46"/>
      <c r="C472" s="47"/>
      <c r="D472" s="47"/>
      <c r="E472" s="47"/>
      <c r="F472" s="47"/>
      <c r="G472" s="47" t="s">
        <v>879</v>
      </c>
      <c r="H472" s="47" t="s">
        <v>887</v>
      </c>
      <c r="I472" s="46"/>
      <c r="J472" s="120">
        <v>4</v>
      </c>
      <c r="K472" s="98"/>
      <c r="L472" s="46"/>
      <c r="M472" s="46"/>
      <c r="N472" s="98"/>
      <c r="O472" s="46"/>
      <c r="P472" s="42"/>
    </row>
    <row r="473" hidden="1" customHeight="1" outlineLevel="1" spans="2:16">
      <c r="B473" s="46"/>
      <c r="C473" s="47"/>
      <c r="D473" s="47"/>
      <c r="E473" s="47"/>
      <c r="F473" s="47"/>
      <c r="G473" s="47" t="s">
        <v>879</v>
      </c>
      <c r="H473" s="47" t="s">
        <v>888</v>
      </c>
      <c r="I473" s="46"/>
      <c r="J473" s="120">
        <v>4</v>
      </c>
      <c r="K473" s="98"/>
      <c r="L473" s="46"/>
      <c r="M473" s="46"/>
      <c r="N473" s="98"/>
      <c r="O473" s="46"/>
      <c r="P473" s="42"/>
    </row>
    <row r="474" hidden="1" customHeight="1" outlineLevel="1" spans="2:16">
      <c r="B474" s="46"/>
      <c r="C474" s="47"/>
      <c r="D474" s="47"/>
      <c r="E474" s="47"/>
      <c r="F474" s="47"/>
      <c r="G474" s="47" t="s">
        <v>879</v>
      </c>
      <c r="H474" s="47" t="s">
        <v>889</v>
      </c>
      <c r="I474" s="46"/>
      <c r="J474" s="120">
        <v>5</v>
      </c>
      <c r="K474" s="98"/>
      <c r="L474" s="46"/>
      <c r="M474" s="46"/>
      <c r="N474" s="98"/>
      <c r="O474" s="46"/>
      <c r="P474" s="42"/>
    </row>
    <row r="475" hidden="1" customHeight="1" outlineLevel="1" spans="2:16">
      <c r="B475" s="46"/>
      <c r="C475" s="47"/>
      <c r="D475" s="47"/>
      <c r="E475" s="47"/>
      <c r="F475" s="47"/>
      <c r="G475" s="47" t="s">
        <v>879</v>
      </c>
      <c r="H475" s="47" t="s">
        <v>890</v>
      </c>
      <c r="I475" s="46"/>
      <c r="J475" s="120">
        <v>3</v>
      </c>
      <c r="K475" s="98"/>
      <c r="L475" s="46"/>
      <c r="M475" s="46"/>
      <c r="N475" s="98"/>
      <c r="O475" s="46"/>
      <c r="P475" s="42"/>
    </row>
    <row r="476" hidden="1" customHeight="1" outlineLevel="1" spans="2:16">
      <c r="B476" s="46"/>
      <c r="C476" s="47"/>
      <c r="D476" s="47"/>
      <c r="E476" s="47"/>
      <c r="F476" s="47"/>
      <c r="G476" s="47" t="s">
        <v>879</v>
      </c>
      <c r="H476" s="47" t="s">
        <v>891</v>
      </c>
      <c r="I476" s="46"/>
      <c r="J476" s="120">
        <v>3.6</v>
      </c>
      <c r="K476" s="98"/>
      <c r="L476" s="46"/>
      <c r="M476" s="46"/>
      <c r="N476" s="98"/>
      <c r="O476" s="46"/>
      <c r="P476" s="42"/>
    </row>
    <row r="477" hidden="1" customHeight="1" outlineLevel="1" spans="2:16">
      <c r="B477" s="46"/>
      <c r="C477" s="47"/>
      <c r="D477" s="47"/>
      <c r="E477" s="47"/>
      <c r="F477" s="47"/>
      <c r="G477" s="47" t="s">
        <v>879</v>
      </c>
      <c r="H477" s="47" t="s">
        <v>892</v>
      </c>
      <c r="I477" s="46"/>
      <c r="J477" s="120">
        <v>0.5</v>
      </c>
      <c r="K477" s="98"/>
      <c r="L477" s="46"/>
      <c r="M477" s="46"/>
      <c r="N477" s="98"/>
      <c r="O477" s="46"/>
      <c r="P477" s="42"/>
    </row>
    <row r="478" hidden="1" customHeight="1" outlineLevel="1" spans="2:16">
      <c r="B478" s="46"/>
      <c r="C478" s="47"/>
      <c r="D478" s="47"/>
      <c r="E478" s="47"/>
      <c r="F478" s="47"/>
      <c r="G478" s="47" t="s">
        <v>879</v>
      </c>
      <c r="H478" s="47" t="s">
        <v>893</v>
      </c>
      <c r="I478" s="46"/>
      <c r="J478" s="120">
        <v>6</v>
      </c>
      <c r="K478" s="98"/>
      <c r="L478" s="46"/>
      <c r="M478" s="46"/>
      <c r="N478" s="98"/>
      <c r="O478" s="46"/>
      <c r="P478" s="42"/>
    </row>
    <row r="479" hidden="1" customHeight="1" outlineLevel="1" spans="2:16">
      <c r="B479" s="46"/>
      <c r="C479" s="47"/>
      <c r="D479" s="47"/>
      <c r="E479" s="47"/>
      <c r="F479" s="47"/>
      <c r="G479" s="47" t="s">
        <v>879</v>
      </c>
      <c r="H479" s="47" t="s">
        <v>893</v>
      </c>
      <c r="I479" s="46"/>
      <c r="J479" s="120">
        <v>4</v>
      </c>
      <c r="K479" s="98"/>
      <c r="L479" s="46"/>
      <c r="M479" s="46"/>
      <c r="N479" s="98"/>
      <c r="O479" s="46"/>
      <c r="P479" s="42"/>
    </row>
    <row r="480" hidden="1" customHeight="1" outlineLevel="1" spans="2:16">
      <c r="B480" s="46"/>
      <c r="C480" s="47"/>
      <c r="D480" s="47"/>
      <c r="E480" s="47"/>
      <c r="F480" s="47"/>
      <c r="G480" s="47" t="s">
        <v>879</v>
      </c>
      <c r="H480" s="47" t="s">
        <v>894</v>
      </c>
      <c r="I480" s="46"/>
      <c r="J480" s="120">
        <v>2.5</v>
      </c>
      <c r="K480" s="98"/>
      <c r="L480" s="46"/>
      <c r="M480" s="46"/>
      <c r="N480" s="98"/>
      <c r="O480" s="46"/>
      <c r="P480" s="42"/>
    </row>
    <row r="481" hidden="1" customHeight="1" outlineLevel="1" spans="2:16">
      <c r="B481" s="46"/>
      <c r="C481" s="47"/>
      <c r="D481" s="47"/>
      <c r="E481" s="47"/>
      <c r="F481" s="47"/>
      <c r="G481" s="47" t="s">
        <v>879</v>
      </c>
      <c r="H481" s="47" t="s">
        <v>895</v>
      </c>
      <c r="I481" s="46"/>
      <c r="J481" s="120">
        <v>6000</v>
      </c>
      <c r="K481" s="98"/>
      <c r="L481" s="46"/>
      <c r="M481" s="46"/>
      <c r="N481" s="98"/>
      <c r="O481" s="46"/>
      <c r="P481" s="42" t="s">
        <v>896</v>
      </c>
    </row>
    <row r="482" hidden="1" customHeight="1" outlineLevel="1" spans="2:16">
      <c r="B482" s="46"/>
      <c r="C482" s="47"/>
      <c r="D482" s="47"/>
      <c r="E482" s="47"/>
      <c r="F482" s="47"/>
      <c r="G482" s="47" t="s">
        <v>879</v>
      </c>
      <c r="H482" s="47" t="s">
        <v>897</v>
      </c>
      <c r="I482" s="46"/>
      <c r="J482" s="120">
        <v>2</v>
      </c>
      <c r="K482" s="98"/>
      <c r="L482" s="46"/>
      <c r="M482" s="46"/>
      <c r="N482" s="98"/>
      <c r="O482" s="46"/>
      <c r="P482" s="42"/>
    </row>
    <row r="483" hidden="1" customHeight="1" outlineLevel="1" spans="2:16">
      <c r="B483" s="46"/>
      <c r="C483" s="47"/>
      <c r="D483" s="47"/>
      <c r="E483" s="47"/>
      <c r="F483" s="47"/>
      <c r="G483" s="47" t="s">
        <v>879</v>
      </c>
      <c r="H483" s="47" t="s">
        <v>898</v>
      </c>
      <c r="I483" s="46"/>
      <c r="J483" s="120">
        <v>8</v>
      </c>
      <c r="K483" s="98"/>
      <c r="L483" s="46"/>
      <c r="M483" s="46"/>
      <c r="N483" s="98"/>
      <c r="O483" s="46"/>
      <c r="P483" s="42"/>
    </row>
    <row r="484" hidden="1" customHeight="1" outlineLevel="1" spans="2:16">
      <c r="B484" s="46"/>
      <c r="C484" s="47"/>
      <c r="D484" s="47"/>
      <c r="E484" s="47"/>
      <c r="F484" s="47"/>
      <c r="G484" s="47" t="s">
        <v>879</v>
      </c>
      <c r="H484" s="47" t="s">
        <v>899</v>
      </c>
      <c r="I484" s="46"/>
      <c r="J484" s="46">
        <v>2</v>
      </c>
      <c r="K484" s="118"/>
      <c r="L484" s="117"/>
      <c r="M484" s="117"/>
      <c r="N484" s="118"/>
      <c r="O484" s="117"/>
      <c r="P484" s="5"/>
    </row>
    <row r="485" customHeight="1" spans="2:16">
      <c r="L485" s="82"/>
      <c r="M485" s="82"/>
      <c r="N485" s="82"/>
    </row>
    <row r="488" customHeight="1" spans="2:16">
      <c r="C488" s="64" t="s">
        <v>900</v>
      </c>
    </row>
    <row r="489" customHeight="1" spans="2:16">
      <c r="C489" s="64" t="s">
        <v>901</v>
      </c>
    </row>
  </sheetData>
  <mergeCells count="14">
    <mergeCell ref="B5:P5"/>
    <mergeCell ref="K6:O6"/>
    <mergeCell ref="B2:B3"/>
    <mergeCell ref="B6:B7"/>
    <mergeCell ref="C6:C7"/>
    <mergeCell ref="D6:D7"/>
    <mergeCell ref="E6:E7"/>
    <mergeCell ref="F6:F7"/>
    <mergeCell ref="G6:G7"/>
    <mergeCell ref="H6:H7"/>
    <mergeCell ref="I6:I7"/>
    <mergeCell ref="J6:J7"/>
    <mergeCell ref="P6:P7"/>
    <mergeCell ref="C2:L4"/>
  </mergeCells>
  <dataValidations count="3">
    <dataValidation type="list" sqref="P2">
      <formula1>"Global,IEC,UL,AU,GB"</formula1>
    </dataValidation>
    <dataValidation type="list" sqref="D1:D5 D465:D615 C8:D464">
      <formula1>"交付,运维,整改,其他,故障恢复"</formula1>
    </dataValidation>
    <dataValidation type="list" sqref="E8:E464">
      <formula1>"户用分布式,地面-集中式,地面-组串式,储能"</formula1>
    </dataValidation>
  </dataValidation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N461"/>
  <sheetViews>
    <sheetView showGridLines="0" tabSelected="1" workbookViewId="0">
      <pane xSplit="1" ySplit="4" topLeftCell="B5" activePane="bottomRight" state="frozen"/>
      <selection/>
      <selection pane="topRight"/>
      <selection pane="bottomLeft"/>
      <selection pane="bottomRight" activeCell="A2" sqref="$A2:$XFD2"/>
    </sheetView>
  </sheetViews>
  <sheetFormatPr defaultColWidth="10" defaultRowHeight="16.5" customHeight="1"/>
  <cols>
    <col min="1" max="1" width="2.74615384615385" customWidth="1"/>
    <col min="2" max="2" width="12.9" style="32" customWidth="1"/>
    <col min="3" max="3" width="29.8153846153846" customWidth="1"/>
    <col min="4" max="4" width="22" customWidth="1"/>
    <col min="5" max="5" width="26.7461538461538" customWidth="1"/>
    <col min="6" max="6" width="9.12307692307692" customWidth="1"/>
    <col min="7" max="7" width="3" customWidth="1"/>
    <col min="8" max="8" width="15.8692307692308" customWidth="1"/>
    <col min="9" max="9" width="44.1230769230769" customWidth="1"/>
    <col min="10" max="10" width="17" customWidth="1"/>
    <col min="12" max="12" width="32.9384615384615" customWidth="1"/>
    <col min="13" max="13" width="26.0307692307692" customWidth="1"/>
  </cols>
  <sheetData>
    <row r="1" customHeight="1" spans="2:14">
      <c r="B1" s="2"/>
    </row>
    <row r="2" customHeight="1" spans="2:14">
      <c r="B2" s="3" t="s">
        <v>9</v>
      </c>
    </row>
    <row r="3" ht="19.5" customHeight="1" spans="2:14">
      <c r="B3" s="66" t="s">
        <v>902</v>
      </c>
      <c r="J3" s="67" t="s">
        <v>903</v>
      </c>
      <c r="N3" s="67" t="s">
        <v>904</v>
      </c>
    </row>
    <row r="4" customHeight="1" spans="2:14">
      <c r="B4" s="68" t="s">
        <v>905</v>
      </c>
      <c r="C4" s="69" t="s">
        <v>83</v>
      </c>
      <c r="D4" s="69" t="s">
        <v>906</v>
      </c>
      <c r="E4" s="69" t="s">
        <v>907</v>
      </c>
      <c r="H4" s="68" t="s">
        <v>908</v>
      </c>
      <c r="I4" s="68" t="s">
        <v>909</v>
      </c>
      <c r="J4" s="68" t="s">
        <v>905</v>
      </c>
      <c r="L4" s="68" t="s">
        <v>910</v>
      </c>
      <c r="M4" s="68" t="s">
        <v>911</v>
      </c>
      <c r="N4" s="68" t="s">
        <v>905</v>
      </c>
    </row>
    <row r="5" ht="41.25" customHeight="1" spans="2:14">
      <c r="B5" s="47" t="s">
        <v>912</v>
      </c>
      <c r="C5" s="5" t="s">
        <v>913</v>
      </c>
      <c r="D5" s="5" t="s">
        <v>913</v>
      </c>
      <c r="E5" s="5" t="s">
        <v>46</v>
      </c>
      <c r="H5" s="47" t="s">
        <v>914</v>
      </c>
      <c r="I5" s="47" t="s">
        <v>915</v>
      </c>
      <c r="J5" s="47" t="s">
        <v>916</v>
      </c>
      <c r="L5" s="70" t="s">
        <v>917</v>
      </c>
      <c r="M5" s="71" t="s">
        <v>918</v>
      </c>
      <c r="N5" s="70" t="s">
        <v>916</v>
      </c>
    </row>
    <row r="6" ht="41.25" customHeight="1" spans="2:14">
      <c r="B6" s="72" t="s">
        <v>912</v>
      </c>
      <c r="C6" s="73" t="s">
        <v>919</v>
      </c>
      <c r="D6" s="73" t="s">
        <v>920</v>
      </c>
      <c r="E6" s="5" t="s">
        <v>46</v>
      </c>
      <c r="H6" s="47" t="s">
        <v>914</v>
      </c>
      <c r="I6" s="47" t="s">
        <v>921</v>
      </c>
      <c r="J6" s="47" t="s">
        <v>916</v>
      </c>
      <c r="L6" s="70" t="s">
        <v>922</v>
      </c>
      <c r="M6" s="71" t="s">
        <v>918</v>
      </c>
      <c r="N6" s="70" t="s">
        <v>916</v>
      </c>
    </row>
    <row r="7" ht="27.75" customHeight="1" spans="2:14">
      <c r="B7" s="47" t="s">
        <v>912</v>
      </c>
      <c r="C7" s="5" t="s">
        <v>923</v>
      </c>
      <c r="D7" s="5" t="s">
        <v>924</v>
      </c>
      <c r="E7" s="5" t="s">
        <v>46</v>
      </c>
      <c r="H7" s="47" t="s">
        <v>914</v>
      </c>
      <c r="I7" s="47" t="s">
        <v>925</v>
      </c>
      <c r="J7" s="47" t="s">
        <v>916</v>
      </c>
      <c r="L7" s="70" t="s">
        <v>926</v>
      </c>
      <c r="M7" s="74" t="s">
        <v>927</v>
      </c>
      <c r="N7" s="70" t="s">
        <v>916</v>
      </c>
    </row>
    <row r="8" ht="27.75" customHeight="1" spans="2:14">
      <c r="B8" s="47" t="s">
        <v>912</v>
      </c>
      <c r="C8" s="5" t="s">
        <v>928</v>
      </c>
      <c r="D8" s="5" t="s">
        <v>929</v>
      </c>
      <c r="E8" s="5" t="s">
        <v>46</v>
      </c>
      <c r="H8" s="47" t="s">
        <v>914</v>
      </c>
      <c r="I8" s="47" t="s">
        <v>930</v>
      </c>
      <c r="J8" s="47" t="s">
        <v>916</v>
      </c>
      <c r="L8" s="70" t="s">
        <v>931</v>
      </c>
      <c r="M8" s="74" t="s">
        <v>932</v>
      </c>
      <c r="N8" s="70" t="s">
        <v>916</v>
      </c>
    </row>
    <row r="9" ht="27.75" customHeight="1" spans="2:14">
      <c r="B9" s="47" t="s">
        <v>912</v>
      </c>
      <c r="C9" s="5" t="s">
        <v>933</v>
      </c>
      <c r="D9" s="5" t="s">
        <v>934</v>
      </c>
      <c r="E9" s="5" t="s">
        <v>46</v>
      </c>
      <c r="H9" s="47" t="s">
        <v>914</v>
      </c>
      <c r="I9" s="47" t="s">
        <v>935</v>
      </c>
      <c r="J9" s="47" t="s">
        <v>916</v>
      </c>
      <c r="L9" s="70" t="s">
        <v>918</v>
      </c>
      <c r="M9" s="74" t="s">
        <v>932</v>
      </c>
      <c r="N9" s="70" t="s">
        <v>916</v>
      </c>
    </row>
    <row r="10" ht="27.75" customHeight="1" spans="2:14">
      <c r="B10" s="47" t="s">
        <v>912</v>
      </c>
      <c r="C10" s="5" t="s">
        <v>936</v>
      </c>
      <c r="D10" s="5" t="s">
        <v>937</v>
      </c>
      <c r="E10" s="5" t="s">
        <v>46</v>
      </c>
      <c r="H10" s="47" t="s">
        <v>914</v>
      </c>
      <c r="I10" s="47" t="s">
        <v>938</v>
      </c>
      <c r="J10" s="47" t="s">
        <v>916</v>
      </c>
      <c r="L10" s="70" t="s">
        <v>939</v>
      </c>
      <c r="M10" s="74" t="s">
        <v>940</v>
      </c>
      <c r="N10" s="70" t="s">
        <v>916</v>
      </c>
    </row>
    <row r="11" ht="27.75" customHeight="1" spans="2:14">
      <c r="B11" s="47" t="s">
        <v>912</v>
      </c>
      <c r="C11" s="5" t="s">
        <v>941</v>
      </c>
      <c r="D11" s="5" t="s">
        <v>942</v>
      </c>
      <c r="E11" s="5" t="s">
        <v>46</v>
      </c>
      <c r="H11" s="47" t="s">
        <v>914</v>
      </c>
      <c r="I11" s="47" t="s">
        <v>943</v>
      </c>
      <c r="J11" s="47" t="s">
        <v>916</v>
      </c>
      <c r="L11" s="70" t="s">
        <v>944</v>
      </c>
      <c r="M11" s="74" t="s">
        <v>945</v>
      </c>
      <c r="N11" s="70" t="s">
        <v>916</v>
      </c>
    </row>
    <row r="12" ht="27.75" customHeight="1" spans="2:14">
      <c r="B12" s="47" t="s">
        <v>912</v>
      </c>
      <c r="C12" s="5" t="s">
        <v>946</v>
      </c>
      <c r="D12" s="5"/>
      <c r="E12" s="5" t="s">
        <v>46</v>
      </c>
      <c r="H12" s="47" t="s">
        <v>914</v>
      </c>
      <c r="I12" s="47" t="s">
        <v>947</v>
      </c>
      <c r="J12" s="47" t="s">
        <v>916</v>
      </c>
      <c r="L12" s="70" t="s">
        <v>948</v>
      </c>
      <c r="M12" s="74" t="s">
        <v>949</v>
      </c>
      <c r="N12" s="70" t="s">
        <v>916</v>
      </c>
    </row>
    <row r="13" ht="27.75" customHeight="1" spans="2:14">
      <c r="B13" s="47" t="s">
        <v>950</v>
      </c>
      <c r="C13" s="5" t="s">
        <v>951</v>
      </c>
      <c r="D13" s="5" t="s">
        <v>952</v>
      </c>
      <c r="E13" s="5" t="s">
        <v>46</v>
      </c>
      <c r="H13" s="47" t="s">
        <v>914</v>
      </c>
      <c r="I13" s="47" t="s">
        <v>953</v>
      </c>
      <c r="J13" s="47" t="s">
        <v>916</v>
      </c>
      <c r="L13" s="70" t="s">
        <v>954</v>
      </c>
      <c r="M13" s="74" t="s">
        <v>955</v>
      </c>
      <c r="N13" s="70" t="s">
        <v>916</v>
      </c>
    </row>
    <row r="14" ht="27.75" customHeight="1" spans="2:14">
      <c r="B14" s="47" t="s">
        <v>950</v>
      </c>
      <c r="C14" s="5" t="s">
        <v>956</v>
      </c>
      <c r="D14" s="5" t="s">
        <v>957</v>
      </c>
      <c r="E14" s="5" t="s">
        <v>46</v>
      </c>
      <c r="H14" s="47" t="s">
        <v>914</v>
      </c>
      <c r="I14" s="47" t="s">
        <v>958</v>
      </c>
      <c r="J14" s="47" t="s">
        <v>916</v>
      </c>
      <c r="L14" s="70" t="s">
        <v>959</v>
      </c>
      <c r="M14" s="74" t="s">
        <v>960</v>
      </c>
      <c r="N14" s="70" t="s">
        <v>916</v>
      </c>
    </row>
    <row r="15" ht="27.75" customHeight="1" spans="2:14">
      <c r="B15" s="47" t="s">
        <v>950</v>
      </c>
      <c r="C15" s="5" t="s">
        <v>961</v>
      </c>
      <c r="D15" s="5" t="s">
        <v>962</v>
      </c>
      <c r="E15" s="5" t="s">
        <v>46</v>
      </c>
      <c r="H15" s="47" t="s">
        <v>914</v>
      </c>
      <c r="I15" s="47" t="s">
        <v>963</v>
      </c>
      <c r="J15" s="47" t="s">
        <v>916</v>
      </c>
      <c r="L15" s="70" t="s">
        <v>964</v>
      </c>
      <c r="M15" s="74" t="s">
        <v>965</v>
      </c>
      <c r="N15" s="70" t="s">
        <v>916</v>
      </c>
    </row>
    <row r="16" ht="41.25" customHeight="1" spans="2:14">
      <c r="B16" s="47" t="s">
        <v>950</v>
      </c>
      <c r="C16" s="5" t="s">
        <v>966</v>
      </c>
      <c r="D16" s="5" t="s">
        <v>967</v>
      </c>
      <c r="E16" s="5" t="s">
        <v>46</v>
      </c>
      <c r="H16" s="47" t="s">
        <v>914</v>
      </c>
      <c r="I16" s="47" t="s">
        <v>968</v>
      </c>
      <c r="J16" s="47" t="s">
        <v>916</v>
      </c>
      <c r="L16" s="70" t="s">
        <v>969</v>
      </c>
      <c r="M16" s="74" t="s">
        <v>970</v>
      </c>
      <c r="N16" s="70" t="s">
        <v>916</v>
      </c>
    </row>
    <row r="17" ht="41.25" customHeight="1" spans="2:14">
      <c r="B17" s="47" t="s">
        <v>950</v>
      </c>
      <c r="C17" s="5" t="s">
        <v>971</v>
      </c>
      <c r="D17" s="5" t="s">
        <v>972</v>
      </c>
      <c r="E17" s="5" t="s">
        <v>46</v>
      </c>
      <c r="H17" s="47" t="s">
        <v>914</v>
      </c>
      <c r="I17" s="47" t="s">
        <v>973</v>
      </c>
      <c r="J17" s="47" t="s">
        <v>916</v>
      </c>
      <c r="L17" s="70" t="s">
        <v>974</v>
      </c>
      <c r="M17" s="74" t="s">
        <v>975</v>
      </c>
      <c r="N17" s="70" t="s">
        <v>916</v>
      </c>
    </row>
    <row r="18" ht="27.75" customHeight="1" spans="2:14">
      <c r="B18" s="47" t="s">
        <v>950</v>
      </c>
      <c r="C18" s="5" t="s">
        <v>976</v>
      </c>
      <c r="D18" s="5" t="s">
        <v>977</v>
      </c>
      <c r="E18" s="5" t="s">
        <v>46</v>
      </c>
      <c r="H18" s="47" t="s">
        <v>914</v>
      </c>
      <c r="I18" s="47" t="s">
        <v>978</v>
      </c>
      <c r="J18" s="47" t="s">
        <v>916</v>
      </c>
      <c r="L18" s="70" t="s">
        <v>979</v>
      </c>
      <c r="M18" s="74" t="s">
        <v>980</v>
      </c>
      <c r="N18" s="70" t="s">
        <v>916</v>
      </c>
    </row>
    <row r="19" ht="27.75" customHeight="1" spans="2:14">
      <c r="B19" s="47" t="s">
        <v>950</v>
      </c>
      <c r="C19" s="5" t="s">
        <v>46</v>
      </c>
      <c r="D19" s="5" t="s">
        <v>981</v>
      </c>
      <c r="E19" s="5" t="s">
        <v>46</v>
      </c>
      <c r="H19" s="47" t="s">
        <v>914</v>
      </c>
      <c r="I19" s="47" t="s">
        <v>982</v>
      </c>
      <c r="J19" s="47" t="s">
        <v>916</v>
      </c>
      <c r="L19" s="70" t="s">
        <v>983</v>
      </c>
      <c r="M19" s="74" t="s">
        <v>984</v>
      </c>
      <c r="N19" s="70" t="s">
        <v>916</v>
      </c>
    </row>
    <row r="20" ht="27.75" customHeight="1" spans="2:14">
      <c r="B20" s="47" t="s">
        <v>950</v>
      </c>
      <c r="C20" s="5" t="s">
        <v>46</v>
      </c>
      <c r="D20" s="5" t="s">
        <v>923</v>
      </c>
      <c r="E20" s="5" t="s">
        <v>46</v>
      </c>
      <c r="H20" s="47" t="s">
        <v>914</v>
      </c>
      <c r="I20" s="47" t="s">
        <v>985</v>
      </c>
      <c r="J20" s="47" t="s">
        <v>916</v>
      </c>
      <c r="L20" s="70" t="s">
        <v>986</v>
      </c>
      <c r="M20" s="74" t="s">
        <v>987</v>
      </c>
      <c r="N20" s="70" t="s">
        <v>916</v>
      </c>
    </row>
    <row r="21" ht="27.75" customHeight="1" spans="2:14">
      <c r="B21" s="47" t="s">
        <v>950</v>
      </c>
      <c r="C21" s="5" t="s">
        <v>46</v>
      </c>
      <c r="D21" s="5" t="s">
        <v>988</v>
      </c>
      <c r="E21" s="5" t="s">
        <v>46</v>
      </c>
      <c r="H21" s="47" t="s">
        <v>914</v>
      </c>
      <c r="I21" s="47" t="s">
        <v>989</v>
      </c>
      <c r="J21" s="47" t="s">
        <v>916</v>
      </c>
      <c r="L21" s="70" t="s">
        <v>990</v>
      </c>
      <c r="M21" s="74" t="s">
        <v>991</v>
      </c>
      <c r="N21" s="70" t="s">
        <v>916</v>
      </c>
    </row>
    <row r="22" ht="27.75" customHeight="1" spans="2:14">
      <c r="B22" s="47" t="s">
        <v>950</v>
      </c>
      <c r="C22" s="5" t="s">
        <v>46</v>
      </c>
      <c r="D22" s="5" t="s">
        <v>992</v>
      </c>
      <c r="E22" s="5" t="s">
        <v>46</v>
      </c>
      <c r="H22" s="47" t="s">
        <v>914</v>
      </c>
      <c r="I22" s="47" t="s">
        <v>993</v>
      </c>
      <c r="J22" s="47" t="s">
        <v>916</v>
      </c>
      <c r="L22" s="70" t="s">
        <v>994</v>
      </c>
      <c r="M22" s="74" t="s">
        <v>995</v>
      </c>
      <c r="N22" s="70" t="s">
        <v>916</v>
      </c>
    </row>
    <row r="23" ht="27.75" customHeight="1" spans="2:14">
      <c r="B23" s="47" t="s">
        <v>950</v>
      </c>
      <c r="C23" s="5" t="s">
        <v>46</v>
      </c>
      <c r="D23" s="5" t="s">
        <v>996</v>
      </c>
      <c r="E23" s="5" t="s">
        <v>46</v>
      </c>
      <c r="H23" s="47" t="s">
        <v>914</v>
      </c>
      <c r="I23" s="47" t="s">
        <v>997</v>
      </c>
      <c r="J23" s="47" t="s">
        <v>916</v>
      </c>
      <c r="L23" s="70" t="s">
        <v>998</v>
      </c>
      <c r="M23" s="74" t="s">
        <v>999</v>
      </c>
      <c r="N23" s="70" t="s">
        <v>916</v>
      </c>
    </row>
    <row r="24" ht="27.75" customHeight="1" spans="2:14">
      <c r="B24" s="47" t="s">
        <v>950</v>
      </c>
      <c r="C24" s="5" t="s">
        <v>46</v>
      </c>
      <c r="D24" s="5" t="s">
        <v>1000</v>
      </c>
      <c r="E24" s="5" t="s">
        <v>46</v>
      </c>
      <c r="H24" s="47" t="s">
        <v>914</v>
      </c>
      <c r="I24" s="47" t="s">
        <v>1001</v>
      </c>
      <c r="J24" s="47" t="s">
        <v>916</v>
      </c>
      <c r="L24" s="70" t="s">
        <v>1002</v>
      </c>
      <c r="M24" s="74" t="s">
        <v>1003</v>
      </c>
      <c r="N24" s="70" t="s">
        <v>916</v>
      </c>
    </row>
    <row r="25" ht="27.75" customHeight="1" spans="2:14">
      <c r="B25" s="47" t="s">
        <v>950</v>
      </c>
      <c r="C25" s="5" t="s">
        <v>46</v>
      </c>
      <c r="D25" s="5" t="s">
        <v>1004</v>
      </c>
      <c r="E25" s="5" t="s">
        <v>46</v>
      </c>
      <c r="H25" s="47" t="s">
        <v>914</v>
      </c>
      <c r="I25" s="47" t="s">
        <v>1005</v>
      </c>
      <c r="J25" s="47" t="s">
        <v>916</v>
      </c>
      <c r="L25" s="70" t="s">
        <v>1006</v>
      </c>
      <c r="M25" s="74" t="s">
        <v>1007</v>
      </c>
      <c r="N25" s="70" t="s">
        <v>916</v>
      </c>
    </row>
    <row r="26" ht="27.75" customHeight="1" spans="2:14">
      <c r="B26" s="47" t="s">
        <v>950</v>
      </c>
      <c r="C26" s="5" t="s">
        <v>46</v>
      </c>
      <c r="D26" s="5" t="s">
        <v>1008</v>
      </c>
      <c r="E26" s="5" t="s">
        <v>46</v>
      </c>
      <c r="H26" s="47" t="s">
        <v>914</v>
      </c>
      <c r="I26" s="47" t="s">
        <v>1009</v>
      </c>
      <c r="J26" s="47" t="s">
        <v>916</v>
      </c>
      <c r="L26" s="70" t="s">
        <v>1006</v>
      </c>
      <c r="M26" s="74" t="s">
        <v>1007</v>
      </c>
      <c r="N26" s="70" t="s">
        <v>916</v>
      </c>
    </row>
    <row r="27" ht="27.75" customHeight="1" spans="2:14">
      <c r="B27" s="47" t="s">
        <v>950</v>
      </c>
      <c r="C27" s="5" t="s">
        <v>46</v>
      </c>
      <c r="D27" s="5" t="s">
        <v>1010</v>
      </c>
      <c r="E27" s="5" t="s">
        <v>46</v>
      </c>
      <c r="H27" s="47" t="s">
        <v>914</v>
      </c>
      <c r="I27" s="47" t="s">
        <v>1011</v>
      </c>
      <c r="J27" s="47" t="s">
        <v>916</v>
      </c>
      <c r="L27" s="70" t="s">
        <v>1006</v>
      </c>
      <c r="M27" s="74" t="s">
        <v>927</v>
      </c>
      <c r="N27" s="70" t="s">
        <v>916</v>
      </c>
    </row>
    <row r="28" ht="41.25" customHeight="1" spans="2:14">
      <c r="B28" s="47" t="s">
        <v>950</v>
      </c>
      <c r="C28" s="5" t="s">
        <v>46</v>
      </c>
      <c r="D28" s="5" t="s">
        <v>1012</v>
      </c>
      <c r="E28" s="5" t="s">
        <v>46</v>
      </c>
      <c r="H28" s="47" t="s">
        <v>914</v>
      </c>
      <c r="I28" s="47" t="s">
        <v>1013</v>
      </c>
      <c r="J28" s="47" t="s">
        <v>916</v>
      </c>
      <c r="L28" s="70" t="s">
        <v>917</v>
      </c>
      <c r="M28" s="71" t="s">
        <v>918</v>
      </c>
      <c r="N28" s="70" t="s">
        <v>916</v>
      </c>
    </row>
    <row r="29" ht="41.25" customHeight="1" spans="2:14">
      <c r="B29" s="47" t="s">
        <v>950</v>
      </c>
      <c r="C29" s="5" t="s">
        <v>46</v>
      </c>
      <c r="D29" s="5" t="s">
        <v>1014</v>
      </c>
      <c r="E29" s="5" t="s">
        <v>46</v>
      </c>
      <c r="H29" s="47" t="s">
        <v>914</v>
      </c>
      <c r="I29" s="47" t="s">
        <v>1015</v>
      </c>
      <c r="J29" s="47" t="s">
        <v>916</v>
      </c>
      <c r="L29" s="70" t="s">
        <v>922</v>
      </c>
      <c r="M29" s="71" t="s">
        <v>918</v>
      </c>
      <c r="N29" s="70" t="s">
        <v>916</v>
      </c>
    </row>
    <row r="30" ht="27.75" customHeight="1" spans="2:14">
      <c r="B30" s="47" t="s">
        <v>950</v>
      </c>
      <c r="C30" s="5" t="s">
        <v>46</v>
      </c>
      <c r="D30" s="5" t="s">
        <v>1016</v>
      </c>
      <c r="E30" s="5" t="s">
        <v>46</v>
      </c>
      <c r="H30" s="47" t="s">
        <v>914</v>
      </c>
      <c r="I30" s="47" t="s">
        <v>1017</v>
      </c>
      <c r="J30" s="47" t="s">
        <v>916</v>
      </c>
      <c r="L30" s="70" t="s">
        <v>926</v>
      </c>
      <c r="M30" s="74" t="s">
        <v>927</v>
      </c>
      <c r="N30" s="70" t="s">
        <v>916</v>
      </c>
    </row>
    <row r="31" ht="27.75" customHeight="1" spans="2:14">
      <c r="B31" s="47" t="s">
        <v>950</v>
      </c>
      <c r="C31" s="5" t="s">
        <v>46</v>
      </c>
      <c r="D31" s="5" t="s">
        <v>936</v>
      </c>
      <c r="E31" s="5" t="s">
        <v>46</v>
      </c>
      <c r="H31" s="47" t="s">
        <v>914</v>
      </c>
      <c r="I31" s="47" t="s">
        <v>1018</v>
      </c>
      <c r="J31" s="47" t="s">
        <v>916</v>
      </c>
      <c r="L31" s="70" t="s">
        <v>931</v>
      </c>
      <c r="M31" s="74" t="s">
        <v>932</v>
      </c>
      <c r="N31" s="70" t="s">
        <v>916</v>
      </c>
    </row>
    <row r="32" ht="27.75" customHeight="1" spans="2:14">
      <c r="B32" s="47" t="s">
        <v>950</v>
      </c>
      <c r="C32" s="5" t="s">
        <v>46</v>
      </c>
      <c r="D32" s="5" t="s">
        <v>961</v>
      </c>
      <c r="E32" s="5" t="s">
        <v>46</v>
      </c>
      <c r="H32" s="47" t="s">
        <v>914</v>
      </c>
      <c r="I32" s="47" t="s">
        <v>1019</v>
      </c>
      <c r="J32" s="47" t="s">
        <v>916</v>
      </c>
      <c r="L32" s="70" t="s">
        <v>918</v>
      </c>
      <c r="M32" s="74" t="s">
        <v>932</v>
      </c>
      <c r="N32" s="70" t="s">
        <v>916</v>
      </c>
    </row>
    <row r="33" ht="27.75" customHeight="1" spans="2:14">
      <c r="B33" s="47" t="s">
        <v>1020</v>
      </c>
      <c r="C33" s="5" t="s">
        <v>1021</v>
      </c>
      <c r="D33" s="5" t="s">
        <v>1022</v>
      </c>
      <c r="E33" s="5" t="s">
        <v>46</v>
      </c>
      <c r="H33" s="47" t="s">
        <v>914</v>
      </c>
      <c r="I33" s="47" t="s">
        <v>1023</v>
      </c>
      <c r="J33" s="47" t="s">
        <v>916</v>
      </c>
      <c r="L33" s="70" t="s">
        <v>939</v>
      </c>
      <c r="M33" s="74" t="s">
        <v>940</v>
      </c>
      <c r="N33" s="70" t="s">
        <v>916</v>
      </c>
    </row>
    <row r="34" ht="27.75" customHeight="1" spans="2:14">
      <c r="B34" s="47" t="s">
        <v>1020</v>
      </c>
      <c r="C34" s="5" t="s">
        <v>988</v>
      </c>
      <c r="D34" s="5" t="s">
        <v>1024</v>
      </c>
      <c r="E34" s="5" t="s">
        <v>46</v>
      </c>
      <c r="H34" s="47" t="s">
        <v>914</v>
      </c>
      <c r="I34" s="47" t="s">
        <v>1025</v>
      </c>
      <c r="J34" s="47" t="s">
        <v>916</v>
      </c>
      <c r="L34" s="70" t="s">
        <v>944</v>
      </c>
      <c r="M34" s="74" t="s">
        <v>945</v>
      </c>
      <c r="N34" s="70" t="s">
        <v>916</v>
      </c>
    </row>
    <row r="35" ht="27.75" customHeight="1" spans="2:14">
      <c r="B35" s="47" t="s">
        <v>1020</v>
      </c>
      <c r="C35" s="5" t="s">
        <v>1026</v>
      </c>
      <c r="D35" s="5" t="s">
        <v>1027</v>
      </c>
      <c r="E35" s="5" t="s">
        <v>46</v>
      </c>
      <c r="H35" s="47" t="s">
        <v>914</v>
      </c>
      <c r="I35" s="47" t="s">
        <v>1028</v>
      </c>
      <c r="J35" s="47" t="s">
        <v>916</v>
      </c>
      <c r="L35" s="70" t="s">
        <v>948</v>
      </c>
      <c r="M35" s="74" t="s">
        <v>949</v>
      </c>
      <c r="N35" s="70" t="s">
        <v>916</v>
      </c>
    </row>
    <row r="36" ht="27.75" customHeight="1" spans="2:14">
      <c r="B36" s="47" t="s">
        <v>1020</v>
      </c>
      <c r="C36" s="5" t="s">
        <v>1029</v>
      </c>
      <c r="D36" s="5" t="s">
        <v>1030</v>
      </c>
      <c r="E36" s="5" t="s">
        <v>46</v>
      </c>
      <c r="H36" s="47" t="s">
        <v>1031</v>
      </c>
      <c r="I36" s="47" t="s">
        <v>1032</v>
      </c>
      <c r="J36" s="47" t="s">
        <v>950</v>
      </c>
      <c r="L36" s="70" t="s">
        <v>954</v>
      </c>
      <c r="M36" s="74" t="s">
        <v>955</v>
      </c>
      <c r="N36" s="70" t="s">
        <v>916</v>
      </c>
    </row>
    <row r="37" ht="27.75" customHeight="1" spans="2:14">
      <c r="B37" s="47" t="s">
        <v>1020</v>
      </c>
      <c r="C37" s="5" t="s">
        <v>1033</v>
      </c>
      <c r="D37" s="5" t="s">
        <v>1034</v>
      </c>
      <c r="E37" s="5" t="s">
        <v>46</v>
      </c>
      <c r="H37" s="47" t="s">
        <v>1031</v>
      </c>
      <c r="I37" s="47" t="s">
        <v>1035</v>
      </c>
      <c r="J37" s="47" t="s">
        <v>950</v>
      </c>
      <c r="L37" s="70" t="s">
        <v>959</v>
      </c>
      <c r="M37" s="74" t="s">
        <v>960</v>
      </c>
      <c r="N37" s="70" t="s">
        <v>916</v>
      </c>
    </row>
    <row r="38" ht="27.75" customHeight="1" spans="2:14">
      <c r="B38" s="47" t="s">
        <v>1020</v>
      </c>
      <c r="C38" s="5" t="s">
        <v>1036</v>
      </c>
      <c r="D38" s="5" t="s">
        <v>1037</v>
      </c>
      <c r="E38" s="5" t="s">
        <v>46</v>
      </c>
      <c r="H38" s="47" t="s">
        <v>1031</v>
      </c>
      <c r="I38" s="47" t="s">
        <v>1038</v>
      </c>
      <c r="J38" s="47" t="s">
        <v>912</v>
      </c>
      <c r="L38" s="70" t="s">
        <v>964</v>
      </c>
      <c r="M38" s="74" t="s">
        <v>965</v>
      </c>
      <c r="N38" s="70" t="s">
        <v>916</v>
      </c>
    </row>
    <row r="39" ht="41.25" customHeight="1" spans="2:14">
      <c r="B39" s="47" t="s">
        <v>1020</v>
      </c>
      <c r="C39" s="5" t="s">
        <v>1039</v>
      </c>
      <c r="D39" s="5" t="s">
        <v>1027</v>
      </c>
      <c r="E39" s="5" t="s">
        <v>46</v>
      </c>
      <c r="H39" s="47" t="s">
        <v>1031</v>
      </c>
      <c r="I39" s="47" t="s">
        <v>1040</v>
      </c>
      <c r="J39" s="47" t="s">
        <v>1020</v>
      </c>
      <c r="L39" s="70" t="s">
        <v>1041</v>
      </c>
      <c r="M39" s="74" t="s">
        <v>970</v>
      </c>
      <c r="N39" s="70" t="s">
        <v>916</v>
      </c>
    </row>
    <row r="40" ht="41.25" customHeight="1" spans="2:14">
      <c r="B40" s="47" t="s">
        <v>1020</v>
      </c>
      <c r="C40" s="5" t="s">
        <v>1042</v>
      </c>
      <c r="D40" s="5" t="s">
        <v>1043</v>
      </c>
      <c r="E40" s="5" t="s">
        <v>46</v>
      </c>
      <c r="H40" s="47" t="s">
        <v>1031</v>
      </c>
      <c r="I40" s="47" t="s">
        <v>1044</v>
      </c>
      <c r="J40" s="47" t="s">
        <v>1020</v>
      </c>
      <c r="L40" s="70" t="s">
        <v>974</v>
      </c>
      <c r="M40" s="74" t="s">
        <v>975</v>
      </c>
      <c r="N40" s="70" t="s">
        <v>916</v>
      </c>
    </row>
    <row r="41" ht="27.75" customHeight="1" spans="2:14">
      <c r="B41" s="47" t="s">
        <v>1020</v>
      </c>
      <c r="C41" s="5" t="s">
        <v>1045</v>
      </c>
      <c r="D41" s="5" t="s">
        <v>1046</v>
      </c>
      <c r="E41" s="75" t="s">
        <v>1047</v>
      </c>
      <c r="H41" s="47" t="s">
        <v>1031</v>
      </c>
      <c r="I41" s="47" t="s">
        <v>1048</v>
      </c>
      <c r="J41" s="47" t="s">
        <v>1020</v>
      </c>
      <c r="L41" s="70" t="s">
        <v>979</v>
      </c>
      <c r="M41" s="74" t="s">
        <v>980</v>
      </c>
      <c r="N41" s="70" t="s">
        <v>916</v>
      </c>
    </row>
    <row r="42" ht="27.75" customHeight="1" spans="2:14">
      <c r="B42" s="47" t="s">
        <v>1020</v>
      </c>
      <c r="C42" s="5" t="s">
        <v>1049</v>
      </c>
      <c r="D42" s="5" t="s">
        <v>1050</v>
      </c>
      <c r="E42" s="5" t="s">
        <v>46</v>
      </c>
      <c r="H42" s="47" t="s">
        <v>1031</v>
      </c>
      <c r="I42" s="47" t="s">
        <v>1051</v>
      </c>
      <c r="J42" s="47" t="s">
        <v>1020</v>
      </c>
      <c r="L42" s="70" t="s">
        <v>983</v>
      </c>
      <c r="M42" s="74" t="s">
        <v>984</v>
      </c>
      <c r="N42" s="70" t="s">
        <v>916</v>
      </c>
    </row>
    <row r="43" ht="27.75" customHeight="1" spans="2:14">
      <c r="B43" s="47" t="s">
        <v>1020</v>
      </c>
      <c r="C43" s="5" t="s">
        <v>1004</v>
      </c>
      <c r="D43" s="5" t="s">
        <v>1052</v>
      </c>
      <c r="E43" s="75" t="s">
        <v>1053</v>
      </c>
      <c r="H43" s="47" t="s">
        <v>1031</v>
      </c>
      <c r="I43" s="47" t="s">
        <v>1054</v>
      </c>
      <c r="J43" s="47" t="s">
        <v>1020</v>
      </c>
      <c r="L43" s="70" t="s">
        <v>986</v>
      </c>
      <c r="M43" s="74" t="s">
        <v>987</v>
      </c>
      <c r="N43" s="70" t="s">
        <v>916</v>
      </c>
    </row>
    <row r="44" ht="27.75" customHeight="1" spans="2:14">
      <c r="B44" s="47" t="s">
        <v>1020</v>
      </c>
      <c r="C44" s="5" t="s">
        <v>1055</v>
      </c>
      <c r="D44" s="5" t="s">
        <v>1056</v>
      </c>
      <c r="E44" s="75" t="s">
        <v>1057</v>
      </c>
      <c r="H44" s="47" t="s">
        <v>1031</v>
      </c>
      <c r="I44" s="47" t="s">
        <v>1058</v>
      </c>
      <c r="J44" s="47" t="s">
        <v>1020</v>
      </c>
      <c r="L44" s="70" t="s">
        <v>990</v>
      </c>
      <c r="M44" s="74" t="s">
        <v>991</v>
      </c>
      <c r="N44" s="70" t="s">
        <v>916</v>
      </c>
    </row>
    <row r="45" ht="27.75" customHeight="1" spans="2:14">
      <c r="B45" s="47" t="s">
        <v>1020</v>
      </c>
      <c r="C45" s="5" t="s">
        <v>1059</v>
      </c>
      <c r="D45" s="5" t="s">
        <v>1060</v>
      </c>
      <c r="E45" s="75" t="s">
        <v>1061</v>
      </c>
      <c r="H45" s="47" t="s">
        <v>1031</v>
      </c>
      <c r="I45" s="47" t="s">
        <v>1062</v>
      </c>
      <c r="J45" s="47" t="s">
        <v>1020</v>
      </c>
      <c r="L45" s="70" t="s">
        <v>994</v>
      </c>
      <c r="M45" s="74" t="s">
        <v>995</v>
      </c>
      <c r="N45" s="70" t="s">
        <v>916</v>
      </c>
    </row>
    <row r="46" ht="27.75" customHeight="1" spans="2:14">
      <c r="B46" s="47" t="s">
        <v>1020</v>
      </c>
      <c r="C46" s="5" t="s">
        <v>1063</v>
      </c>
      <c r="D46" s="5" t="s">
        <v>1064</v>
      </c>
      <c r="E46" s="75" t="s">
        <v>1065</v>
      </c>
      <c r="H46" s="47" t="s">
        <v>1031</v>
      </c>
      <c r="I46" s="47" t="s">
        <v>1066</v>
      </c>
      <c r="J46" s="47" t="s">
        <v>1020</v>
      </c>
      <c r="L46" s="70" t="s">
        <v>1067</v>
      </c>
      <c r="M46" s="74" t="s">
        <v>999</v>
      </c>
      <c r="N46" s="70" t="s">
        <v>916</v>
      </c>
    </row>
    <row r="47" ht="27.75" customHeight="1" spans="2:14">
      <c r="B47" s="47" t="s">
        <v>1020</v>
      </c>
      <c r="C47" s="5" t="s">
        <v>1068</v>
      </c>
      <c r="D47" s="5" t="s">
        <v>1069</v>
      </c>
      <c r="E47" s="75" t="s">
        <v>1070</v>
      </c>
      <c r="H47" s="47" t="s">
        <v>1031</v>
      </c>
      <c r="I47" s="47" t="s">
        <v>1071</v>
      </c>
      <c r="J47" s="47" t="s">
        <v>1020</v>
      </c>
      <c r="L47" s="70" t="s">
        <v>1072</v>
      </c>
      <c r="M47" s="74" t="s">
        <v>1003</v>
      </c>
      <c r="N47" s="70" t="s">
        <v>916</v>
      </c>
    </row>
    <row r="48" ht="41.25" customHeight="1" spans="2:14">
      <c r="B48" s="47" t="s">
        <v>1020</v>
      </c>
      <c r="C48" s="5" t="s">
        <v>1073</v>
      </c>
      <c r="D48" s="5" t="s">
        <v>46</v>
      </c>
      <c r="E48" s="75" t="s">
        <v>977</v>
      </c>
      <c r="H48" s="47" t="s">
        <v>1031</v>
      </c>
      <c r="I48" s="47" t="s">
        <v>1074</v>
      </c>
      <c r="J48" s="47" t="s">
        <v>1020</v>
      </c>
      <c r="L48" s="70" t="s">
        <v>1075</v>
      </c>
      <c r="M48" s="74" t="s">
        <v>1076</v>
      </c>
      <c r="N48" s="70" t="s">
        <v>916</v>
      </c>
    </row>
    <row r="49" ht="27.75" customHeight="1" spans="2:14">
      <c r="B49" s="47" t="s">
        <v>1020</v>
      </c>
      <c r="C49" s="5" t="s">
        <v>1077</v>
      </c>
      <c r="D49" s="5" t="s">
        <v>46</v>
      </c>
      <c r="E49" s="75" t="s">
        <v>1078</v>
      </c>
      <c r="H49" s="47" t="s">
        <v>1031</v>
      </c>
      <c r="I49" s="47" t="s">
        <v>1079</v>
      </c>
      <c r="J49" s="47" t="s">
        <v>1020</v>
      </c>
      <c r="L49" s="70" t="s">
        <v>1075</v>
      </c>
      <c r="M49" s="74" t="s">
        <v>1080</v>
      </c>
      <c r="N49" s="70" t="s">
        <v>916</v>
      </c>
    </row>
    <row r="50" ht="27.75" customHeight="1" spans="2:14">
      <c r="B50" s="47" t="s">
        <v>1020</v>
      </c>
      <c r="C50" s="5" t="s">
        <v>1081</v>
      </c>
      <c r="D50" s="5" t="s">
        <v>46</v>
      </c>
      <c r="E50" s="75" t="s">
        <v>1082</v>
      </c>
      <c r="H50" s="47" t="s">
        <v>1031</v>
      </c>
      <c r="I50" s="47" t="s">
        <v>1083</v>
      </c>
      <c r="J50" s="47" t="s">
        <v>1020</v>
      </c>
      <c r="L50" s="70" t="s">
        <v>1075</v>
      </c>
      <c r="M50" s="74" t="s">
        <v>1084</v>
      </c>
      <c r="N50" s="70" t="s">
        <v>916</v>
      </c>
    </row>
    <row r="51" ht="41.25" customHeight="1" spans="2:14">
      <c r="B51" s="47" t="s">
        <v>1020</v>
      </c>
      <c r="C51" s="5" t="s">
        <v>1085</v>
      </c>
      <c r="D51" s="5" t="s">
        <v>46</v>
      </c>
      <c r="E51" s="5" t="s">
        <v>1086</v>
      </c>
      <c r="H51" s="47" t="s">
        <v>1031</v>
      </c>
      <c r="I51" s="47" t="s">
        <v>1087</v>
      </c>
      <c r="J51" s="47" t="s">
        <v>1020</v>
      </c>
      <c r="L51" s="70" t="s">
        <v>1088</v>
      </c>
      <c r="M51" s="71" t="s">
        <v>1089</v>
      </c>
      <c r="N51" s="70" t="s">
        <v>916</v>
      </c>
    </row>
    <row r="52" ht="27.75" customHeight="1" spans="2:14">
      <c r="B52" s="47" t="s">
        <v>1020</v>
      </c>
      <c r="C52" s="5" t="s">
        <v>1090</v>
      </c>
      <c r="D52" s="5" t="s">
        <v>46</v>
      </c>
      <c r="E52" s="5" t="s">
        <v>1091</v>
      </c>
      <c r="H52" s="47" t="s">
        <v>1031</v>
      </c>
      <c r="I52" s="47" t="s">
        <v>1092</v>
      </c>
      <c r="J52" s="47" t="s">
        <v>1020</v>
      </c>
      <c r="L52" s="70" t="s">
        <v>1088</v>
      </c>
      <c r="M52" s="71" t="s">
        <v>1093</v>
      </c>
      <c r="N52" s="70" t="s">
        <v>916</v>
      </c>
    </row>
    <row r="53" ht="27.75" customHeight="1" spans="2:14">
      <c r="B53" s="47" t="s">
        <v>1020</v>
      </c>
      <c r="C53" s="5" t="s">
        <v>1094</v>
      </c>
      <c r="D53" s="5" t="s">
        <v>46</v>
      </c>
      <c r="E53" s="5" t="s">
        <v>1095</v>
      </c>
      <c r="H53" s="47" t="s">
        <v>1031</v>
      </c>
      <c r="I53" s="47" t="s">
        <v>1096</v>
      </c>
      <c r="J53" s="47" t="s">
        <v>1020</v>
      </c>
      <c r="L53" s="70" t="s">
        <v>1097</v>
      </c>
      <c r="M53" s="71" t="s">
        <v>1098</v>
      </c>
      <c r="N53" s="70" t="s">
        <v>916</v>
      </c>
    </row>
    <row r="54" ht="27.75" customHeight="1" spans="2:14">
      <c r="B54" s="47" t="s">
        <v>1020</v>
      </c>
      <c r="C54" s="5" t="s">
        <v>1099</v>
      </c>
      <c r="D54" s="5" t="s">
        <v>46</v>
      </c>
      <c r="E54" s="5" t="s">
        <v>1100</v>
      </c>
      <c r="H54" s="47" t="s">
        <v>1031</v>
      </c>
      <c r="I54" s="47" t="s">
        <v>1101</v>
      </c>
      <c r="J54" s="47" t="s">
        <v>1020</v>
      </c>
      <c r="L54" s="70" t="s">
        <v>1102</v>
      </c>
      <c r="M54" s="74" t="s">
        <v>1103</v>
      </c>
      <c r="N54" s="70" t="s">
        <v>916</v>
      </c>
    </row>
    <row r="55" ht="41.25" customHeight="1" spans="2:14">
      <c r="B55" s="47" t="s">
        <v>1020</v>
      </c>
      <c r="C55" s="5" t="s">
        <v>1104</v>
      </c>
      <c r="D55" s="5" t="s">
        <v>46</v>
      </c>
      <c r="E55" s="5" t="s">
        <v>1105</v>
      </c>
      <c r="H55" s="47" t="s">
        <v>1031</v>
      </c>
      <c r="I55" s="47" t="s">
        <v>1106</v>
      </c>
      <c r="J55" s="47" t="s">
        <v>1020</v>
      </c>
      <c r="L55" s="70" t="s">
        <v>1102</v>
      </c>
      <c r="M55" s="74" t="s">
        <v>1107</v>
      </c>
      <c r="N55" s="70" t="s">
        <v>916</v>
      </c>
    </row>
    <row r="56" ht="41.25" customHeight="1" spans="2:14">
      <c r="B56" s="47" t="s">
        <v>1020</v>
      </c>
      <c r="C56" s="5" t="s">
        <v>1108</v>
      </c>
      <c r="D56" s="5" t="s">
        <v>46</v>
      </c>
      <c r="E56" s="5" t="s">
        <v>1109</v>
      </c>
      <c r="H56" s="47" t="s">
        <v>1031</v>
      </c>
      <c r="I56" s="47" t="s">
        <v>1110</v>
      </c>
      <c r="J56" s="47" t="s">
        <v>1020</v>
      </c>
      <c r="L56" s="70" t="s">
        <v>1102</v>
      </c>
      <c r="M56" s="74" t="s">
        <v>1111</v>
      </c>
      <c r="N56" s="70" t="s">
        <v>916</v>
      </c>
    </row>
    <row r="57" ht="41.25" customHeight="1" spans="2:14">
      <c r="B57" s="47" t="s">
        <v>1020</v>
      </c>
      <c r="C57" s="5" t="s">
        <v>1112</v>
      </c>
      <c r="D57" s="5" t="s">
        <v>46</v>
      </c>
      <c r="E57" s="5" t="s">
        <v>1113</v>
      </c>
      <c r="H57" s="47" t="s">
        <v>1031</v>
      </c>
      <c r="I57" s="47" t="s">
        <v>1114</v>
      </c>
      <c r="J57" s="47" t="s">
        <v>1020</v>
      </c>
      <c r="L57" s="70" t="s">
        <v>1115</v>
      </c>
      <c r="M57" s="74" t="s">
        <v>1116</v>
      </c>
      <c r="N57" s="70" t="s">
        <v>1020</v>
      </c>
    </row>
    <row r="58" ht="27.75" customHeight="1" spans="2:14">
      <c r="B58" s="47" t="s">
        <v>1020</v>
      </c>
      <c r="C58" s="5" t="s">
        <v>1117</v>
      </c>
      <c r="D58" s="5" t="s">
        <v>46</v>
      </c>
      <c r="E58" s="5" t="s">
        <v>1118</v>
      </c>
      <c r="H58" s="47" t="s">
        <v>1031</v>
      </c>
      <c r="I58" s="47" t="s">
        <v>1040</v>
      </c>
      <c r="J58" s="47" t="s">
        <v>1020</v>
      </c>
      <c r="L58" s="70" t="s">
        <v>1115</v>
      </c>
      <c r="M58" s="74" t="s">
        <v>1119</v>
      </c>
      <c r="N58" s="70" t="s">
        <v>916</v>
      </c>
    </row>
    <row r="59" ht="27.75" customHeight="1" spans="2:14">
      <c r="B59" s="47" t="s">
        <v>1020</v>
      </c>
      <c r="C59" s="5" t="s">
        <v>1120</v>
      </c>
      <c r="D59" s="5" t="s">
        <v>46</v>
      </c>
      <c r="E59" s="5" t="s">
        <v>1121</v>
      </c>
      <c r="H59" s="47" t="s">
        <v>1031</v>
      </c>
      <c r="I59" s="47" t="s">
        <v>1122</v>
      </c>
      <c r="J59" s="47" t="s">
        <v>1020</v>
      </c>
      <c r="L59" s="70" t="s">
        <v>1115</v>
      </c>
      <c r="M59" s="74" t="s">
        <v>1123</v>
      </c>
      <c r="N59" s="70" t="s">
        <v>916</v>
      </c>
    </row>
    <row r="60" ht="41.25" customHeight="1" spans="2:14">
      <c r="B60" s="47" t="s">
        <v>1020</v>
      </c>
      <c r="C60" s="5" t="s">
        <v>1124</v>
      </c>
      <c r="D60" s="5" t="s">
        <v>46</v>
      </c>
      <c r="E60" s="5" t="s">
        <v>46</v>
      </c>
      <c r="H60" s="47" t="s">
        <v>1031</v>
      </c>
      <c r="I60" s="47" t="s">
        <v>1125</v>
      </c>
      <c r="J60" s="47" t="s">
        <v>1020</v>
      </c>
      <c r="L60" s="70" t="s">
        <v>1115</v>
      </c>
      <c r="M60" s="74" t="s">
        <v>1126</v>
      </c>
      <c r="N60" s="70" t="s">
        <v>916</v>
      </c>
    </row>
    <row r="61" ht="41.25" customHeight="1" spans="2:14">
      <c r="B61" s="47" t="s">
        <v>916</v>
      </c>
      <c r="C61" s="5" t="s">
        <v>1127</v>
      </c>
      <c r="D61" s="5" t="s">
        <v>1128</v>
      </c>
      <c r="E61" s="75" t="s">
        <v>1129</v>
      </c>
      <c r="H61" s="47" t="s">
        <v>1031</v>
      </c>
      <c r="I61" s="47" t="s">
        <v>1044</v>
      </c>
      <c r="J61" s="47" t="s">
        <v>1020</v>
      </c>
      <c r="L61" s="70" t="s">
        <v>1115</v>
      </c>
      <c r="M61" s="74" t="s">
        <v>1130</v>
      </c>
      <c r="N61" s="70" t="s">
        <v>916</v>
      </c>
    </row>
    <row r="62" ht="27.75" customHeight="1" spans="2:14">
      <c r="B62" s="47" t="s">
        <v>916</v>
      </c>
      <c r="C62" s="5" t="s">
        <v>1131</v>
      </c>
      <c r="D62" s="5" t="s">
        <v>1132</v>
      </c>
      <c r="E62" s="75" t="s">
        <v>1133</v>
      </c>
      <c r="H62" s="47" t="s">
        <v>1031</v>
      </c>
      <c r="I62" s="47" t="s">
        <v>1134</v>
      </c>
      <c r="J62" s="47" t="s">
        <v>1020</v>
      </c>
      <c r="L62" s="70" t="s">
        <v>1135</v>
      </c>
      <c r="M62" s="74" t="s">
        <v>1136</v>
      </c>
      <c r="N62" s="70" t="s">
        <v>1020</v>
      </c>
    </row>
    <row r="63" ht="27.75" customHeight="1" spans="2:14">
      <c r="B63" s="47" t="s">
        <v>916</v>
      </c>
      <c r="C63" s="5" t="s">
        <v>1137</v>
      </c>
      <c r="D63" s="5" t="s">
        <v>1127</v>
      </c>
      <c r="E63" s="75" t="s">
        <v>1138</v>
      </c>
      <c r="H63" s="47" t="s">
        <v>1031</v>
      </c>
      <c r="I63" s="47" t="s">
        <v>1139</v>
      </c>
      <c r="J63" s="47" t="s">
        <v>1020</v>
      </c>
      <c r="L63" s="70" t="s">
        <v>1135</v>
      </c>
      <c r="M63" s="74" t="s">
        <v>1140</v>
      </c>
      <c r="N63" s="70" t="s">
        <v>1020</v>
      </c>
    </row>
    <row r="64" ht="41.25" customHeight="1" spans="2:14">
      <c r="B64" s="47" t="s">
        <v>916</v>
      </c>
      <c r="C64" s="5" t="s">
        <v>1141</v>
      </c>
      <c r="D64" s="5" t="s">
        <v>1142</v>
      </c>
      <c r="E64" s="75" t="s">
        <v>1143</v>
      </c>
      <c r="H64" s="47" t="s">
        <v>1031</v>
      </c>
      <c r="I64" s="47" t="s">
        <v>1144</v>
      </c>
      <c r="J64" s="47" t="s">
        <v>1020</v>
      </c>
      <c r="L64" s="70" t="s">
        <v>1135</v>
      </c>
      <c r="M64" s="74" t="s">
        <v>1145</v>
      </c>
      <c r="N64" s="70" t="s">
        <v>950</v>
      </c>
    </row>
    <row r="65" ht="27.75" customHeight="1" spans="2:14">
      <c r="B65" s="47" t="s">
        <v>916</v>
      </c>
      <c r="C65" s="5" t="s">
        <v>1146</v>
      </c>
      <c r="D65" s="5" t="s">
        <v>1147</v>
      </c>
      <c r="E65" s="75" t="s">
        <v>1148</v>
      </c>
      <c r="H65" s="47" t="s">
        <v>1031</v>
      </c>
      <c r="I65" s="47" t="s">
        <v>1149</v>
      </c>
      <c r="J65" s="47" t="s">
        <v>1020</v>
      </c>
      <c r="L65" s="70" t="s">
        <v>1135</v>
      </c>
      <c r="M65" s="74" t="s">
        <v>1150</v>
      </c>
      <c r="N65" s="70" t="s">
        <v>916</v>
      </c>
    </row>
    <row r="66" ht="27.75" customHeight="1" spans="2:14">
      <c r="B66" s="47" t="s">
        <v>916</v>
      </c>
      <c r="C66" s="5" t="s">
        <v>1151</v>
      </c>
      <c r="D66" s="5" t="s">
        <v>1152</v>
      </c>
      <c r="E66" s="75" t="s">
        <v>1153</v>
      </c>
      <c r="H66" s="47" t="s">
        <v>1031</v>
      </c>
      <c r="I66" s="47" t="s">
        <v>1154</v>
      </c>
      <c r="J66" s="47" t="s">
        <v>1020</v>
      </c>
      <c r="L66" s="70" t="s">
        <v>1135</v>
      </c>
      <c r="M66" s="74" t="s">
        <v>1155</v>
      </c>
      <c r="N66" s="70" t="s">
        <v>916</v>
      </c>
    </row>
    <row r="67" ht="27.75" customHeight="1" spans="2:14">
      <c r="B67" s="47" t="s">
        <v>916</v>
      </c>
      <c r="C67" s="5" t="s">
        <v>1156</v>
      </c>
      <c r="D67" s="5" t="s">
        <v>1151</v>
      </c>
      <c r="E67" s="75" t="s">
        <v>1157</v>
      </c>
      <c r="H67" s="47" t="s">
        <v>1031</v>
      </c>
      <c r="I67" s="47" t="s">
        <v>1158</v>
      </c>
      <c r="J67" s="47" t="s">
        <v>1020</v>
      </c>
      <c r="L67" s="70" t="s">
        <v>1135</v>
      </c>
      <c r="M67" s="74" t="s">
        <v>1159</v>
      </c>
      <c r="N67" s="70" t="s">
        <v>916</v>
      </c>
    </row>
    <row r="68" ht="41.25" customHeight="1" spans="2:14">
      <c r="B68" s="47" t="s">
        <v>916</v>
      </c>
      <c r="C68" s="5" t="s">
        <v>1160</v>
      </c>
      <c r="D68" s="5" t="s">
        <v>1161</v>
      </c>
      <c r="E68" s="76" t="s">
        <v>1162</v>
      </c>
      <c r="H68" s="47" t="s">
        <v>1031</v>
      </c>
      <c r="I68" s="47" t="s">
        <v>1163</v>
      </c>
      <c r="J68" s="47" t="s">
        <v>1020</v>
      </c>
      <c r="L68" s="70" t="s">
        <v>1164</v>
      </c>
      <c r="M68" s="71" t="s">
        <v>1165</v>
      </c>
      <c r="N68" s="70" t="s">
        <v>916</v>
      </c>
    </row>
    <row r="69" ht="27.75" customHeight="1" spans="2:14">
      <c r="B69" s="47" t="s">
        <v>916</v>
      </c>
      <c r="C69" s="5" t="s">
        <v>1166</v>
      </c>
      <c r="D69" s="5" t="s">
        <v>1167</v>
      </c>
      <c r="E69" s="5" t="s">
        <v>1168</v>
      </c>
      <c r="H69" s="47" t="s">
        <v>1031</v>
      </c>
      <c r="I69" s="47" t="s">
        <v>1169</v>
      </c>
      <c r="J69" s="47" t="s">
        <v>1020</v>
      </c>
      <c r="L69" s="70" t="s">
        <v>1170</v>
      </c>
      <c r="M69" s="71" t="s">
        <v>1171</v>
      </c>
      <c r="N69" s="70" t="s">
        <v>916</v>
      </c>
    </row>
    <row r="70" ht="27.75" customHeight="1" spans="2:14">
      <c r="B70" s="47" t="s">
        <v>916</v>
      </c>
      <c r="C70" s="5" t="s">
        <v>1172</v>
      </c>
      <c r="D70" s="5" t="s">
        <v>1064</v>
      </c>
      <c r="E70" s="75" t="s">
        <v>1173</v>
      </c>
      <c r="H70" s="47" t="s">
        <v>1031</v>
      </c>
      <c r="I70" s="47" t="s">
        <v>1174</v>
      </c>
      <c r="J70" s="47" t="s">
        <v>1020</v>
      </c>
      <c r="L70" s="70" t="s">
        <v>1175</v>
      </c>
      <c r="M70" s="71" t="s">
        <v>1176</v>
      </c>
      <c r="N70" s="70" t="s">
        <v>916</v>
      </c>
    </row>
    <row r="71" ht="27.75" customHeight="1" spans="2:14">
      <c r="B71" s="47" t="s">
        <v>916</v>
      </c>
      <c r="C71" s="5" t="s">
        <v>1152</v>
      </c>
      <c r="D71" s="5" t="s">
        <v>1177</v>
      </c>
      <c r="E71" s="5"/>
      <c r="H71" s="47" t="s">
        <v>1031</v>
      </c>
      <c r="I71" s="47" t="s">
        <v>1178</v>
      </c>
      <c r="J71" s="47" t="s">
        <v>1020</v>
      </c>
      <c r="L71" s="70" t="s">
        <v>1179</v>
      </c>
      <c r="M71" s="71" t="s">
        <v>1180</v>
      </c>
      <c r="N71" s="70" t="s">
        <v>916</v>
      </c>
    </row>
    <row r="72" ht="27.75" customHeight="1" spans="2:14">
      <c r="B72" s="47" t="s">
        <v>916</v>
      </c>
      <c r="C72" s="5" t="s">
        <v>1181</v>
      </c>
      <c r="D72" s="5" t="s">
        <v>1182</v>
      </c>
      <c r="E72" s="5"/>
      <c r="H72" s="47" t="s">
        <v>1031</v>
      </c>
      <c r="I72" s="47" t="s">
        <v>1183</v>
      </c>
      <c r="J72" s="47" t="s">
        <v>1020</v>
      </c>
      <c r="L72" s="70" t="s">
        <v>1184</v>
      </c>
      <c r="M72" s="71" t="s">
        <v>1185</v>
      </c>
      <c r="N72" s="70" t="s">
        <v>916</v>
      </c>
    </row>
    <row r="73" ht="27.75" customHeight="1" spans="2:14">
      <c r="B73" s="47" t="s">
        <v>916</v>
      </c>
      <c r="C73" s="5" t="s">
        <v>1186</v>
      </c>
      <c r="D73" s="5" t="s">
        <v>1187</v>
      </c>
      <c r="E73" s="5"/>
      <c r="H73" s="47" t="s">
        <v>1031</v>
      </c>
      <c r="I73" s="47" t="s">
        <v>1188</v>
      </c>
      <c r="J73" s="47" t="s">
        <v>1020</v>
      </c>
      <c r="L73" s="70" t="s">
        <v>1189</v>
      </c>
      <c r="M73" s="71" t="s">
        <v>1190</v>
      </c>
      <c r="N73" s="70" t="s">
        <v>916</v>
      </c>
    </row>
    <row r="74" ht="27.75" customHeight="1" spans="2:14">
      <c r="B74" s="47" t="s">
        <v>916</v>
      </c>
      <c r="C74" s="5" t="s">
        <v>1191</v>
      </c>
      <c r="D74" s="5" t="s">
        <v>1192</v>
      </c>
      <c r="E74" s="5"/>
      <c r="H74" s="47" t="s">
        <v>1031</v>
      </c>
      <c r="I74" s="47" t="s">
        <v>1193</v>
      </c>
      <c r="J74" s="47" t="s">
        <v>1020</v>
      </c>
      <c r="L74" s="70" t="s">
        <v>1194</v>
      </c>
      <c r="M74" s="71" t="s">
        <v>1195</v>
      </c>
      <c r="N74" s="70" t="s">
        <v>916</v>
      </c>
    </row>
    <row r="75" ht="41.25" customHeight="1" spans="2:14">
      <c r="B75" s="47" t="s">
        <v>916</v>
      </c>
      <c r="C75" s="5" t="s">
        <v>1196</v>
      </c>
      <c r="D75" s="5" t="s">
        <v>1197</v>
      </c>
      <c r="E75" s="5"/>
      <c r="H75" s="47" t="s">
        <v>1031</v>
      </c>
      <c r="I75" s="47" t="s">
        <v>1198</v>
      </c>
      <c r="J75" s="47" t="s">
        <v>1020</v>
      </c>
      <c r="L75" s="70" t="s">
        <v>1199</v>
      </c>
      <c r="M75" s="71" t="s">
        <v>1200</v>
      </c>
      <c r="N75" s="70" t="s">
        <v>916</v>
      </c>
    </row>
    <row r="76" ht="27.75" customHeight="1" spans="2:14">
      <c r="B76" s="47" t="s">
        <v>916</v>
      </c>
      <c r="C76" s="5" t="s">
        <v>1201</v>
      </c>
      <c r="D76" s="5" t="s">
        <v>1202</v>
      </c>
      <c r="E76" s="5"/>
      <c r="H76" s="47" t="s">
        <v>1031</v>
      </c>
      <c r="I76" s="47" t="s">
        <v>1203</v>
      </c>
      <c r="J76" s="47" t="s">
        <v>1020</v>
      </c>
      <c r="L76" s="70" t="s">
        <v>1204</v>
      </c>
      <c r="M76" s="71" t="s">
        <v>1171</v>
      </c>
      <c r="N76" s="70" t="s">
        <v>916</v>
      </c>
    </row>
    <row r="77" ht="27.75" customHeight="1" spans="2:14">
      <c r="B77" s="47" t="s">
        <v>916</v>
      </c>
      <c r="C77" s="5" t="s">
        <v>1205</v>
      </c>
      <c r="D77" s="5" t="s">
        <v>1206</v>
      </c>
      <c r="E77" s="5"/>
      <c r="H77" s="47" t="s">
        <v>1031</v>
      </c>
      <c r="I77" s="47" t="s">
        <v>1207</v>
      </c>
      <c r="J77" s="47" t="s">
        <v>1020</v>
      </c>
      <c r="L77" s="70" t="s">
        <v>1208</v>
      </c>
      <c r="M77" s="71" t="s">
        <v>1209</v>
      </c>
      <c r="N77" s="70" t="s">
        <v>916</v>
      </c>
    </row>
    <row r="78" ht="27.75" customHeight="1" spans="2:14">
      <c r="B78" s="47" t="s">
        <v>916</v>
      </c>
      <c r="C78" s="5" t="s">
        <v>1210</v>
      </c>
      <c r="D78" s="5" t="s">
        <v>1211</v>
      </c>
      <c r="E78" s="5"/>
      <c r="H78" s="47" t="s">
        <v>1031</v>
      </c>
      <c r="I78" s="47" t="s">
        <v>1212</v>
      </c>
      <c r="J78" s="47" t="s">
        <v>1020</v>
      </c>
      <c r="L78" s="70" t="s">
        <v>1213</v>
      </c>
      <c r="M78" s="71" t="s">
        <v>1214</v>
      </c>
      <c r="N78" s="70" t="s">
        <v>916</v>
      </c>
    </row>
    <row r="79" ht="27.75" customHeight="1" spans="2:14">
      <c r="B79" s="47" t="s">
        <v>916</v>
      </c>
      <c r="C79" s="5" t="s">
        <v>1215</v>
      </c>
      <c r="D79" s="5" t="s">
        <v>1216</v>
      </c>
      <c r="E79" s="5"/>
      <c r="H79" s="47" t="s">
        <v>1031</v>
      </c>
      <c r="I79" s="47" t="s">
        <v>1217</v>
      </c>
      <c r="J79" s="47" t="s">
        <v>1020</v>
      </c>
      <c r="L79" s="70" t="s">
        <v>1218</v>
      </c>
      <c r="M79" s="71" t="s">
        <v>1219</v>
      </c>
      <c r="N79" s="70" t="s">
        <v>916</v>
      </c>
    </row>
    <row r="80" ht="27.75" customHeight="1" spans="2:14">
      <c r="B80" s="47" t="s">
        <v>916</v>
      </c>
      <c r="C80" s="5" t="s">
        <v>1220</v>
      </c>
      <c r="D80" s="5" t="s">
        <v>1221</v>
      </c>
      <c r="E80" s="5"/>
      <c r="H80" s="47" t="s">
        <v>1031</v>
      </c>
      <c r="I80" s="47" t="s">
        <v>1222</v>
      </c>
      <c r="J80" s="47" t="s">
        <v>1020</v>
      </c>
      <c r="L80" s="70" t="s">
        <v>1223</v>
      </c>
      <c r="M80" s="71" t="s">
        <v>1224</v>
      </c>
      <c r="N80" s="70" t="s">
        <v>916</v>
      </c>
    </row>
    <row r="81" ht="27.75" customHeight="1" spans="2:14">
      <c r="B81" s="47" t="s">
        <v>916</v>
      </c>
      <c r="C81" s="5" t="s">
        <v>1220</v>
      </c>
      <c r="D81" s="5" t="s">
        <v>1225</v>
      </c>
      <c r="E81" s="5"/>
      <c r="H81" s="47" t="s">
        <v>1031</v>
      </c>
      <c r="I81" s="47" t="s">
        <v>938</v>
      </c>
      <c r="J81" s="47" t="s">
        <v>1020</v>
      </c>
      <c r="L81" s="70" t="s">
        <v>1226</v>
      </c>
      <c r="M81" s="71" t="s">
        <v>1227</v>
      </c>
      <c r="N81" s="70" t="s">
        <v>916</v>
      </c>
    </row>
    <row r="82" ht="27.75" customHeight="1" spans="2:14">
      <c r="B82" s="47" t="s">
        <v>916</v>
      </c>
      <c r="C82" s="5" t="s">
        <v>1228</v>
      </c>
      <c r="D82" s="5" t="s">
        <v>1229</v>
      </c>
      <c r="E82" s="5"/>
      <c r="H82" s="47" t="s">
        <v>1031</v>
      </c>
      <c r="I82" s="47" t="s">
        <v>1230</v>
      </c>
      <c r="J82" s="47" t="s">
        <v>916</v>
      </c>
      <c r="L82" s="70" t="s">
        <v>1231</v>
      </c>
      <c r="M82" s="71" t="s">
        <v>1232</v>
      </c>
      <c r="N82" s="70" t="s">
        <v>916</v>
      </c>
    </row>
    <row r="83" ht="27.75" customHeight="1" spans="2:14">
      <c r="B83" s="47" t="s">
        <v>916</v>
      </c>
      <c r="C83" s="5" t="s">
        <v>1233</v>
      </c>
      <c r="D83" s="5" t="s">
        <v>1234</v>
      </c>
      <c r="E83" s="5"/>
      <c r="H83" s="47" t="s">
        <v>1031</v>
      </c>
      <c r="I83" s="47" t="s">
        <v>947</v>
      </c>
      <c r="J83" s="47" t="s">
        <v>916</v>
      </c>
      <c r="L83" s="70" t="s">
        <v>1235</v>
      </c>
      <c r="M83" s="71" t="s">
        <v>1236</v>
      </c>
      <c r="N83" s="70" t="s">
        <v>916</v>
      </c>
    </row>
    <row r="84" ht="27.75" customHeight="1" spans="2:14">
      <c r="B84" s="47" t="s">
        <v>916</v>
      </c>
      <c r="C84" s="5" t="s">
        <v>1237</v>
      </c>
      <c r="D84" s="5" t="s">
        <v>1238</v>
      </c>
      <c r="E84" s="5"/>
      <c r="H84" s="47" t="s">
        <v>1031</v>
      </c>
      <c r="I84" s="47" t="s">
        <v>1239</v>
      </c>
      <c r="J84" s="47" t="s">
        <v>916</v>
      </c>
      <c r="L84" s="70" t="s">
        <v>1240</v>
      </c>
      <c r="M84" s="71" t="s">
        <v>1227</v>
      </c>
      <c r="N84" s="70" t="s">
        <v>916</v>
      </c>
    </row>
    <row r="85" ht="41.25" customHeight="1" spans="2:14">
      <c r="B85" s="47" t="s">
        <v>916</v>
      </c>
      <c r="C85" s="5" t="s">
        <v>46</v>
      </c>
      <c r="D85" s="5" t="s">
        <v>1206</v>
      </c>
      <c r="E85" s="5"/>
      <c r="H85" s="47" t="s">
        <v>1031</v>
      </c>
      <c r="I85" s="47" t="s">
        <v>953</v>
      </c>
      <c r="J85" s="47" t="s">
        <v>916</v>
      </c>
      <c r="L85" s="70" t="s">
        <v>1241</v>
      </c>
      <c r="M85" s="71" t="s">
        <v>1242</v>
      </c>
      <c r="N85" s="70" t="s">
        <v>916</v>
      </c>
    </row>
    <row r="86" ht="27.75" customHeight="1" spans="2:14">
      <c r="B86" s="47" t="s">
        <v>916</v>
      </c>
      <c r="C86" s="5" t="s">
        <v>46</v>
      </c>
      <c r="D86" s="5" t="s">
        <v>1060</v>
      </c>
      <c r="E86" s="5"/>
      <c r="H86" s="47" t="s">
        <v>1031</v>
      </c>
      <c r="I86" s="47" t="s">
        <v>1243</v>
      </c>
      <c r="J86" s="47" t="s">
        <v>916</v>
      </c>
      <c r="L86" s="70" t="s">
        <v>1244</v>
      </c>
      <c r="M86" s="71" t="s">
        <v>1245</v>
      </c>
      <c r="N86" s="70" t="s">
        <v>916</v>
      </c>
    </row>
    <row r="87" ht="27.75" customHeight="1" spans="2:14">
      <c r="B87" s="47" t="s">
        <v>916</v>
      </c>
      <c r="C87" s="5" t="s">
        <v>46</v>
      </c>
      <c r="D87" s="5" t="s">
        <v>1246</v>
      </c>
      <c r="E87" s="5"/>
      <c r="H87" s="47" t="s">
        <v>1031</v>
      </c>
      <c r="I87" s="47" t="s">
        <v>989</v>
      </c>
      <c r="J87" s="47" t="s">
        <v>916</v>
      </c>
      <c r="L87" s="70" t="s">
        <v>1247</v>
      </c>
      <c r="M87" s="71" t="s">
        <v>1248</v>
      </c>
      <c r="N87" s="70" t="s">
        <v>916</v>
      </c>
    </row>
    <row r="88" ht="27.75" customHeight="1" spans="2:14">
      <c r="B88" s="47" t="s">
        <v>916</v>
      </c>
      <c r="C88" s="5" t="s">
        <v>46</v>
      </c>
      <c r="D88" s="5" t="s">
        <v>1237</v>
      </c>
      <c r="E88" s="5"/>
      <c r="H88" s="47" t="s">
        <v>1031</v>
      </c>
      <c r="I88" s="47" t="s">
        <v>1011</v>
      </c>
      <c r="J88" s="47" t="s">
        <v>916</v>
      </c>
      <c r="L88" s="70" t="s">
        <v>1249</v>
      </c>
      <c r="M88" s="71" t="s">
        <v>1250</v>
      </c>
      <c r="N88" s="70" t="s">
        <v>916</v>
      </c>
    </row>
    <row r="89" ht="41.25" customHeight="1" spans="2:14">
      <c r="H89" s="47" t="s">
        <v>1031</v>
      </c>
      <c r="I89" s="47" t="s">
        <v>1251</v>
      </c>
      <c r="J89" s="47" t="s">
        <v>916</v>
      </c>
      <c r="L89" s="70" t="s">
        <v>926</v>
      </c>
      <c r="M89" s="71" t="s">
        <v>1252</v>
      </c>
      <c r="N89" s="70" t="s">
        <v>916</v>
      </c>
    </row>
    <row r="90" ht="27.75" customHeight="1" spans="2:14">
      <c r="H90" s="47" t="s">
        <v>1031</v>
      </c>
      <c r="I90" s="47" t="s">
        <v>1253</v>
      </c>
      <c r="J90" s="47" t="s">
        <v>916</v>
      </c>
      <c r="L90" s="70" t="s">
        <v>1254</v>
      </c>
      <c r="M90" s="71" t="s">
        <v>1255</v>
      </c>
      <c r="N90" s="70" t="s">
        <v>916</v>
      </c>
    </row>
    <row r="91" ht="27.75" customHeight="1" spans="2:14">
      <c r="H91" s="47" t="s">
        <v>1031</v>
      </c>
      <c r="I91" s="47" t="s">
        <v>1256</v>
      </c>
      <c r="J91" s="47" t="s">
        <v>916</v>
      </c>
      <c r="L91" s="70" t="s">
        <v>1257</v>
      </c>
      <c r="M91" s="71" t="s">
        <v>1258</v>
      </c>
      <c r="N91" s="70" t="s">
        <v>916</v>
      </c>
    </row>
    <row r="92" ht="27.75" customHeight="1" spans="2:14">
      <c r="H92" s="47" t="s">
        <v>1031</v>
      </c>
      <c r="I92" s="47" t="s">
        <v>1259</v>
      </c>
      <c r="J92" s="47" t="s">
        <v>916</v>
      </c>
      <c r="L92" s="70" t="s">
        <v>1260</v>
      </c>
      <c r="M92" s="71" t="s">
        <v>1261</v>
      </c>
      <c r="N92" s="70" t="s">
        <v>916</v>
      </c>
    </row>
    <row r="93" ht="27.75" customHeight="1" spans="2:14">
      <c r="H93" s="47" t="s">
        <v>1031</v>
      </c>
      <c r="I93" s="47" t="s">
        <v>1262</v>
      </c>
      <c r="J93" s="47" t="s">
        <v>916</v>
      </c>
      <c r="L93" s="70" t="s">
        <v>1263</v>
      </c>
      <c r="M93" s="71" t="s">
        <v>1264</v>
      </c>
      <c r="N93" s="70" t="s">
        <v>916</v>
      </c>
    </row>
    <row r="94" ht="27.75" customHeight="1" spans="2:14">
      <c r="H94" s="47" t="s">
        <v>1031</v>
      </c>
      <c r="I94" s="47" t="s">
        <v>1265</v>
      </c>
      <c r="J94" s="47" t="s">
        <v>916</v>
      </c>
      <c r="L94" s="70" t="s">
        <v>1266</v>
      </c>
      <c r="M94" s="71" t="s">
        <v>1180</v>
      </c>
      <c r="N94" s="70" t="s">
        <v>916</v>
      </c>
    </row>
    <row r="95" ht="27.75" customHeight="1" spans="2:14">
      <c r="H95" s="47" t="s">
        <v>1031</v>
      </c>
      <c r="I95" s="47" t="s">
        <v>938</v>
      </c>
      <c r="J95" s="47" t="s">
        <v>916</v>
      </c>
      <c r="L95" s="70" t="s">
        <v>1267</v>
      </c>
      <c r="M95" s="71" t="s">
        <v>1176</v>
      </c>
      <c r="N95" s="70" t="s">
        <v>916</v>
      </c>
    </row>
    <row r="96" ht="27.75" customHeight="1" spans="2:14">
      <c r="H96" s="47" t="s">
        <v>1031</v>
      </c>
      <c r="I96" s="47" t="s">
        <v>1268</v>
      </c>
      <c r="J96" s="47" t="s">
        <v>916</v>
      </c>
      <c r="L96" s="77" t="s">
        <v>1269</v>
      </c>
      <c r="M96" s="71" t="s">
        <v>1270</v>
      </c>
      <c r="N96" s="70" t="s">
        <v>1020</v>
      </c>
    </row>
    <row r="97" ht="27.75" customHeight="1" spans="8:14">
      <c r="H97" s="47" t="s">
        <v>1031</v>
      </c>
      <c r="I97" s="47" t="s">
        <v>989</v>
      </c>
      <c r="J97" s="47" t="s">
        <v>916</v>
      </c>
      <c r="L97" s="65"/>
      <c r="M97" s="71" t="s">
        <v>1271</v>
      </c>
      <c r="N97" s="70" t="s">
        <v>1020</v>
      </c>
    </row>
    <row r="98" ht="27.75" customHeight="1" spans="8:14">
      <c r="H98" s="47" t="s">
        <v>1031</v>
      </c>
      <c r="I98" s="47" t="s">
        <v>1272</v>
      </c>
      <c r="J98" s="47" t="s">
        <v>916</v>
      </c>
      <c r="L98" s="70" t="s">
        <v>1273</v>
      </c>
      <c r="M98" s="71" t="s">
        <v>1274</v>
      </c>
      <c r="N98" s="70" t="s">
        <v>916</v>
      </c>
    </row>
    <row r="99" ht="27.75" customHeight="1" spans="8:14">
      <c r="H99" s="47" t="s">
        <v>1031</v>
      </c>
      <c r="I99" s="47" t="s">
        <v>1275</v>
      </c>
      <c r="J99" s="47" t="s">
        <v>916</v>
      </c>
      <c r="L99" s="70" t="s">
        <v>1276</v>
      </c>
      <c r="M99" s="71" t="s">
        <v>1277</v>
      </c>
      <c r="N99" s="70" t="s">
        <v>916</v>
      </c>
    </row>
    <row r="100" ht="27.75" customHeight="1" spans="8:14">
      <c r="H100" s="47" t="s">
        <v>1031</v>
      </c>
      <c r="I100" s="47" t="s">
        <v>1278</v>
      </c>
      <c r="J100" s="47" t="s">
        <v>916</v>
      </c>
      <c r="L100" s="70" t="s">
        <v>1279</v>
      </c>
      <c r="M100" s="71" t="s">
        <v>1165</v>
      </c>
      <c r="N100" s="70" t="s">
        <v>916</v>
      </c>
    </row>
    <row r="101" ht="27.75" customHeight="1" spans="8:14">
      <c r="H101" s="47" t="s">
        <v>1031</v>
      </c>
      <c r="I101" s="47" t="s">
        <v>1280</v>
      </c>
      <c r="J101" s="47" t="s">
        <v>916</v>
      </c>
      <c r="L101" s="78" t="s">
        <v>1281</v>
      </c>
      <c r="M101" s="71" t="s">
        <v>1282</v>
      </c>
      <c r="N101" s="70" t="s">
        <v>916</v>
      </c>
    </row>
    <row r="102" ht="27.75" customHeight="1" spans="8:14">
      <c r="H102" s="47" t="s">
        <v>1031</v>
      </c>
      <c r="I102" s="47" t="s">
        <v>1283</v>
      </c>
      <c r="J102" s="47" t="s">
        <v>916</v>
      </c>
      <c r="L102" s="70" t="s">
        <v>1284</v>
      </c>
      <c r="M102" s="71" t="s">
        <v>1285</v>
      </c>
      <c r="N102" s="70" t="s">
        <v>916</v>
      </c>
    </row>
    <row r="103" ht="27.75" customHeight="1" spans="8:14">
      <c r="H103" s="47" t="s">
        <v>1031</v>
      </c>
      <c r="I103" s="47" t="s">
        <v>1286</v>
      </c>
      <c r="J103" s="47" t="s">
        <v>916</v>
      </c>
      <c r="L103" s="70" t="s">
        <v>1287</v>
      </c>
      <c r="M103" s="71" t="s">
        <v>1288</v>
      </c>
      <c r="N103" s="70" t="s">
        <v>916</v>
      </c>
    </row>
    <row r="104" ht="27.75" customHeight="1" spans="8:14">
      <c r="H104" s="47" t="s">
        <v>1031</v>
      </c>
      <c r="I104" s="47" t="s">
        <v>1289</v>
      </c>
      <c r="J104" s="47" t="s">
        <v>916</v>
      </c>
      <c r="L104" s="70" t="s">
        <v>1290</v>
      </c>
      <c r="M104" s="71" t="s">
        <v>1291</v>
      </c>
      <c r="N104" s="70" t="s">
        <v>916</v>
      </c>
    </row>
    <row r="105" ht="27.75" customHeight="1" spans="8:14">
      <c r="H105" s="47" t="s">
        <v>1031</v>
      </c>
      <c r="I105" s="47" t="s">
        <v>1292</v>
      </c>
      <c r="J105" s="47" t="s">
        <v>916</v>
      </c>
      <c r="L105" s="70" t="s">
        <v>1293</v>
      </c>
      <c r="M105" s="71" t="s">
        <v>1294</v>
      </c>
      <c r="N105" s="70" t="s">
        <v>916</v>
      </c>
    </row>
    <row r="106" ht="27.75" customHeight="1" spans="8:14">
      <c r="H106" s="47" t="s">
        <v>1031</v>
      </c>
      <c r="I106" s="47" t="s">
        <v>1295</v>
      </c>
      <c r="J106" s="47" t="s">
        <v>916</v>
      </c>
      <c r="L106" s="70" t="s">
        <v>1184</v>
      </c>
      <c r="M106" s="71" t="s">
        <v>1296</v>
      </c>
      <c r="N106" s="70" t="s">
        <v>916</v>
      </c>
    </row>
    <row r="107" ht="27.75" customHeight="1" spans="8:14">
      <c r="H107" s="47" t="s">
        <v>1031</v>
      </c>
      <c r="I107" s="47" t="s">
        <v>1297</v>
      </c>
      <c r="J107" s="47" t="s">
        <v>916</v>
      </c>
      <c r="L107" s="70" t="s">
        <v>1088</v>
      </c>
      <c r="M107" s="71" t="s">
        <v>1298</v>
      </c>
      <c r="N107" s="70" t="s">
        <v>916</v>
      </c>
    </row>
    <row r="108" ht="27.75" customHeight="1" spans="8:14">
      <c r="H108" s="47" t="s">
        <v>1031</v>
      </c>
      <c r="I108" s="47" t="s">
        <v>1299</v>
      </c>
      <c r="J108" s="47" t="s">
        <v>916</v>
      </c>
      <c r="L108" s="70" t="s">
        <v>1097</v>
      </c>
      <c r="M108" s="71" t="s">
        <v>1300</v>
      </c>
      <c r="N108" s="70" t="s">
        <v>916</v>
      </c>
    </row>
    <row r="109" ht="27.75" customHeight="1" spans="8:14">
      <c r="H109" s="47" t="s">
        <v>1031</v>
      </c>
      <c r="I109" s="47" t="s">
        <v>1301</v>
      </c>
      <c r="J109" s="47" t="s">
        <v>916</v>
      </c>
      <c r="L109" s="70" t="s">
        <v>1097</v>
      </c>
      <c r="M109" s="71" t="s">
        <v>1302</v>
      </c>
      <c r="N109" s="70" t="s">
        <v>916</v>
      </c>
    </row>
    <row r="110" ht="27.75" customHeight="1" spans="8:14">
      <c r="H110" s="47" t="s">
        <v>1031</v>
      </c>
      <c r="I110" s="47" t="s">
        <v>1303</v>
      </c>
      <c r="J110" s="47" t="s">
        <v>916</v>
      </c>
      <c r="L110" s="70" t="s">
        <v>926</v>
      </c>
      <c r="M110" s="71" t="s">
        <v>1304</v>
      </c>
      <c r="N110" s="70" t="s">
        <v>916</v>
      </c>
    </row>
    <row r="111" ht="27.75" customHeight="1" spans="8:14">
      <c r="H111" s="47" t="s">
        <v>1031</v>
      </c>
      <c r="I111" s="47" t="s">
        <v>1305</v>
      </c>
      <c r="J111" s="47" t="s">
        <v>916</v>
      </c>
      <c r="L111" s="70" t="s">
        <v>926</v>
      </c>
      <c r="M111" s="71" t="s">
        <v>1306</v>
      </c>
      <c r="N111" s="70" t="s">
        <v>916</v>
      </c>
    </row>
    <row r="112" ht="27.75" customHeight="1" spans="8:14">
      <c r="H112" s="47" t="s">
        <v>1031</v>
      </c>
      <c r="I112" s="47" t="s">
        <v>1307</v>
      </c>
      <c r="J112" s="47" t="s">
        <v>916</v>
      </c>
      <c r="L112" s="70" t="s">
        <v>926</v>
      </c>
      <c r="M112" s="71" t="s">
        <v>1308</v>
      </c>
      <c r="N112" s="70" t="s">
        <v>916</v>
      </c>
    </row>
    <row r="113" ht="27.75" customHeight="1" spans="8:14">
      <c r="H113" s="47" t="s">
        <v>1031</v>
      </c>
      <c r="I113" s="47" t="s">
        <v>1309</v>
      </c>
      <c r="J113" s="47" t="s">
        <v>916</v>
      </c>
      <c r="L113" s="70" t="s">
        <v>1310</v>
      </c>
      <c r="M113" s="71" t="s">
        <v>1311</v>
      </c>
      <c r="N113" s="70" t="s">
        <v>916</v>
      </c>
    </row>
    <row r="114" ht="27.75" customHeight="1" spans="8:14">
      <c r="H114" s="47" t="s">
        <v>1031</v>
      </c>
      <c r="I114" s="47" t="s">
        <v>1312</v>
      </c>
      <c r="J114" s="47" t="s">
        <v>916</v>
      </c>
      <c r="L114" s="70" t="s">
        <v>1313</v>
      </c>
      <c r="M114" s="71" t="s">
        <v>1314</v>
      </c>
      <c r="N114" s="70" t="s">
        <v>916</v>
      </c>
    </row>
    <row r="115" ht="27.75" customHeight="1" spans="8:14">
      <c r="H115" s="47" t="s">
        <v>1031</v>
      </c>
      <c r="I115" s="47" t="s">
        <v>1315</v>
      </c>
      <c r="J115" s="47" t="s">
        <v>916</v>
      </c>
      <c r="L115" s="70" t="s">
        <v>1316</v>
      </c>
      <c r="M115" s="71" t="s">
        <v>1317</v>
      </c>
      <c r="N115" s="70" t="s">
        <v>916</v>
      </c>
    </row>
    <row r="116" ht="41.25" customHeight="1" spans="8:14">
      <c r="H116" s="47" t="s">
        <v>1031</v>
      </c>
      <c r="I116" s="47" t="s">
        <v>1318</v>
      </c>
      <c r="J116" s="47" t="s">
        <v>916</v>
      </c>
      <c r="L116" s="70" t="s">
        <v>1319</v>
      </c>
      <c r="M116" s="71" t="s">
        <v>1320</v>
      </c>
      <c r="N116" s="70" t="s">
        <v>916</v>
      </c>
    </row>
    <row r="117" ht="41.25" customHeight="1" spans="8:14">
      <c r="H117" s="47" t="s">
        <v>1031</v>
      </c>
      <c r="I117" s="47" t="s">
        <v>1321</v>
      </c>
      <c r="J117" s="47" t="s">
        <v>916</v>
      </c>
      <c r="L117" s="70" t="s">
        <v>1322</v>
      </c>
      <c r="M117" s="71" t="s">
        <v>1323</v>
      </c>
      <c r="N117" s="70" t="s">
        <v>916</v>
      </c>
    </row>
    <row r="118" ht="41.25" customHeight="1" spans="8:14">
      <c r="H118" s="47" t="s">
        <v>1031</v>
      </c>
      <c r="I118" s="47" t="s">
        <v>1324</v>
      </c>
      <c r="J118" s="47" t="s">
        <v>916</v>
      </c>
      <c r="L118" s="70" t="s">
        <v>1325</v>
      </c>
      <c r="M118" s="71" t="s">
        <v>1326</v>
      </c>
      <c r="N118" s="70" t="s">
        <v>916</v>
      </c>
    </row>
    <row r="119" ht="27.75" customHeight="1" spans="8:14">
      <c r="H119" s="47" t="s">
        <v>1031</v>
      </c>
      <c r="I119" s="47" t="s">
        <v>1327</v>
      </c>
      <c r="J119" s="47" t="s">
        <v>916</v>
      </c>
      <c r="L119" s="70" t="s">
        <v>1328</v>
      </c>
      <c r="M119" s="71" t="s">
        <v>1329</v>
      </c>
      <c r="N119" s="70" t="s">
        <v>916</v>
      </c>
    </row>
    <row r="120" ht="27.75" customHeight="1" spans="8:14">
      <c r="H120" s="47" t="s">
        <v>1031</v>
      </c>
      <c r="I120" s="47" t="s">
        <v>1330</v>
      </c>
      <c r="J120" s="47" t="s">
        <v>916</v>
      </c>
      <c r="L120" s="70" t="s">
        <v>1328</v>
      </c>
      <c r="M120" s="71" t="s">
        <v>1331</v>
      </c>
      <c r="N120" s="70" t="s">
        <v>1020</v>
      </c>
    </row>
    <row r="121" ht="27.75" customHeight="1" spans="8:14">
      <c r="H121" s="47" t="s">
        <v>1031</v>
      </c>
      <c r="I121" s="47" t="s">
        <v>1332</v>
      </c>
      <c r="J121" s="47" t="s">
        <v>916</v>
      </c>
      <c r="L121" s="70" t="s">
        <v>1333</v>
      </c>
      <c r="M121" s="71" t="s">
        <v>1334</v>
      </c>
      <c r="N121" s="70" t="s">
        <v>950</v>
      </c>
    </row>
    <row r="122" ht="27.75" customHeight="1" spans="8:14">
      <c r="H122" s="47" t="s">
        <v>1031</v>
      </c>
      <c r="I122" s="47" t="s">
        <v>1335</v>
      </c>
      <c r="J122" s="47" t="s">
        <v>916</v>
      </c>
      <c r="L122" s="70" t="s">
        <v>1328</v>
      </c>
      <c r="M122" s="71" t="s">
        <v>1336</v>
      </c>
      <c r="N122" s="70" t="s">
        <v>916</v>
      </c>
    </row>
    <row r="123" ht="27.75" customHeight="1" spans="8:14">
      <c r="H123" s="47" t="s">
        <v>1031</v>
      </c>
      <c r="I123" s="47" t="s">
        <v>1337</v>
      </c>
      <c r="J123" s="47" t="s">
        <v>916</v>
      </c>
      <c r="L123" s="70" t="s">
        <v>1338</v>
      </c>
      <c r="M123" s="71" t="s">
        <v>1339</v>
      </c>
      <c r="N123" s="70" t="s">
        <v>916</v>
      </c>
    </row>
    <row r="124" ht="41.25" customHeight="1" spans="8:14">
      <c r="H124" s="47" t="s">
        <v>1031</v>
      </c>
      <c r="I124" s="47" t="s">
        <v>1340</v>
      </c>
      <c r="J124" s="47" t="s">
        <v>916</v>
      </c>
      <c r="L124" s="77" t="s">
        <v>1341</v>
      </c>
      <c r="M124" s="71" t="s">
        <v>1342</v>
      </c>
      <c r="N124" s="70" t="s">
        <v>916</v>
      </c>
    </row>
    <row r="125" ht="41.25" customHeight="1" spans="8:14">
      <c r="H125" s="47" t="s">
        <v>1031</v>
      </c>
      <c r="I125" s="47" t="s">
        <v>1343</v>
      </c>
      <c r="J125" s="47" t="s">
        <v>916</v>
      </c>
      <c r="L125" s="77" t="s">
        <v>1341</v>
      </c>
      <c r="M125" s="71" t="s">
        <v>1342</v>
      </c>
      <c r="N125" s="70" t="s">
        <v>916</v>
      </c>
    </row>
    <row r="126" ht="27.75" customHeight="1" spans="8:14">
      <c r="H126" s="47" t="s">
        <v>1031</v>
      </c>
      <c r="I126" s="47" t="s">
        <v>1344</v>
      </c>
      <c r="J126" s="47" t="s">
        <v>916</v>
      </c>
      <c r="L126" s="77" t="s">
        <v>1341</v>
      </c>
      <c r="M126" s="71" t="s">
        <v>1345</v>
      </c>
      <c r="N126" s="70" t="s">
        <v>916</v>
      </c>
    </row>
    <row r="127" ht="41.25" customHeight="1" spans="8:14">
      <c r="H127" s="47" t="s">
        <v>1031</v>
      </c>
      <c r="I127" s="47" t="s">
        <v>1330</v>
      </c>
      <c r="J127" s="47" t="s">
        <v>916</v>
      </c>
      <c r="L127" s="70" t="s">
        <v>926</v>
      </c>
      <c r="M127" s="71" t="s">
        <v>1346</v>
      </c>
      <c r="N127" s="70" t="s">
        <v>916</v>
      </c>
    </row>
    <row r="128" ht="27.75" customHeight="1" spans="8:14">
      <c r="H128" s="47" t="s">
        <v>1031</v>
      </c>
      <c r="I128" s="47" t="s">
        <v>1347</v>
      </c>
      <c r="J128" s="47" t="s">
        <v>916</v>
      </c>
      <c r="L128" s="77" t="s">
        <v>1348</v>
      </c>
      <c r="M128" s="71" t="s">
        <v>1349</v>
      </c>
      <c r="N128" s="70" t="s">
        <v>916</v>
      </c>
    </row>
    <row r="129" ht="27.75" customHeight="1" spans="8:14">
      <c r="H129" s="47" t="s">
        <v>1031</v>
      </c>
      <c r="I129" s="47" t="s">
        <v>1332</v>
      </c>
      <c r="J129" s="47" t="s">
        <v>916</v>
      </c>
      <c r="L129" s="77" t="s">
        <v>1348</v>
      </c>
      <c r="M129" s="71" t="s">
        <v>1350</v>
      </c>
      <c r="N129" s="70" t="s">
        <v>916</v>
      </c>
    </row>
    <row r="130" ht="27.75" customHeight="1" spans="8:14">
      <c r="H130" s="47" t="s">
        <v>1031</v>
      </c>
      <c r="I130" s="47" t="s">
        <v>1337</v>
      </c>
      <c r="J130" s="47" t="s">
        <v>916</v>
      </c>
      <c r="L130" s="77" t="s">
        <v>1348</v>
      </c>
      <c r="M130" s="71" t="s">
        <v>1351</v>
      </c>
      <c r="N130" s="70" t="s">
        <v>916</v>
      </c>
    </row>
    <row r="131" ht="27.75" customHeight="1" spans="8:14">
      <c r="H131" s="47" t="s">
        <v>1031</v>
      </c>
      <c r="I131" s="47" t="s">
        <v>1352</v>
      </c>
      <c r="J131" s="47" t="s">
        <v>916</v>
      </c>
      <c r="L131" s="77" t="s">
        <v>1348</v>
      </c>
      <c r="M131" s="71" t="s">
        <v>1353</v>
      </c>
      <c r="N131" s="70" t="s">
        <v>916</v>
      </c>
    </row>
    <row r="132" ht="27.75" customHeight="1" spans="8:14">
      <c r="H132" s="47" t="s">
        <v>1031</v>
      </c>
      <c r="I132" s="47" t="s">
        <v>1354</v>
      </c>
      <c r="J132" s="47" t="s">
        <v>916</v>
      </c>
      <c r="L132" s="70" t="s">
        <v>1355</v>
      </c>
      <c r="M132" s="71" t="s">
        <v>1356</v>
      </c>
      <c r="N132" s="70" t="s">
        <v>916</v>
      </c>
    </row>
    <row r="133" ht="41.25" customHeight="1" spans="8:14">
      <c r="H133" s="47" t="s">
        <v>1031</v>
      </c>
      <c r="I133" s="47" t="s">
        <v>1357</v>
      </c>
      <c r="J133" s="47" t="s">
        <v>916</v>
      </c>
      <c r="L133" s="70" t="s">
        <v>1358</v>
      </c>
      <c r="M133" s="71" t="s">
        <v>1359</v>
      </c>
      <c r="N133" s="70" t="s">
        <v>916</v>
      </c>
    </row>
    <row r="134" ht="27.75" customHeight="1" spans="8:14">
      <c r="H134" s="47" t="s">
        <v>1031</v>
      </c>
      <c r="I134" s="47" t="s">
        <v>1360</v>
      </c>
      <c r="J134" s="47" t="s">
        <v>916</v>
      </c>
      <c r="L134" s="70" t="s">
        <v>1361</v>
      </c>
      <c r="M134" s="71" t="s">
        <v>1362</v>
      </c>
      <c r="N134" s="70" t="s">
        <v>916</v>
      </c>
    </row>
    <row r="135" ht="27.75" customHeight="1" spans="8:14">
      <c r="H135" s="47" t="s">
        <v>1031</v>
      </c>
      <c r="I135" s="47" t="s">
        <v>1363</v>
      </c>
      <c r="J135" s="47" t="s">
        <v>916</v>
      </c>
      <c r="L135" s="70" t="s">
        <v>1364</v>
      </c>
      <c r="M135" s="71" t="s">
        <v>1365</v>
      </c>
      <c r="N135" s="70" t="s">
        <v>916</v>
      </c>
    </row>
    <row r="136" ht="27.75" customHeight="1" spans="8:14">
      <c r="H136" s="47" t="s">
        <v>1031</v>
      </c>
      <c r="I136" s="47" t="s">
        <v>1366</v>
      </c>
      <c r="J136" s="47" t="s">
        <v>916</v>
      </c>
      <c r="L136" s="70" t="s">
        <v>1367</v>
      </c>
      <c r="M136" s="71" t="s">
        <v>1368</v>
      </c>
      <c r="N136" s="70" t="s">
        <v>916</v>
      </c>
    </row>
    <row r="137" ht="27.75" customHeight="1" spans="8:14">
      <c r="H137" s="47" t="s">
        <v>1031</v>
      </c>
      <c r="I137" s="47" t="s">
        <v>1369</v>
      </c>
      <c r="J137" s="47" t="s">
        <v>916</v>
      </c>
      <c r="L137" s="70" t="s">
        <v>1370</v>
      </c>
      <c r="M137" s="71" t="s">
        <v>1371</v>
      </c>
      <c r="N137" s="70" t="s">
        <v>916</v>
      </c>
    </row>
    <row r="138" ht="27.75" customHeight="1" spans="8:14">
      <c r="H138" s="47" t="s">
        <v>1031</v>
      </c>
      <c r="I138" s="47" t="s">
        <v>1372</v>
      </c>
      <c r="J138" s="47" t="s">
        <v>916</v>
      </c>
      <c r="L138" s="70" t="s">
        <v>1370</v>
      </c>
      <c r="M138" s="71" t="s">
        <v>1373</v>
      </c>
      <c r="N138" s="70" t="s">
        <v>916</v>
      </c>
    </row>
    <row r="139" ht="41.25" customHeight="1" spans="8:14">
      <c r="H139" s="47" t="s">
        <v>1031</v>
      </c>
      <c r="I139" s="47" t="s">
        <v>1374</v>
      </c>
      <c r="J139" s="47" t="s">
        <v>916</v>
      </c>
      <c r="L139" s="70" t="s">
        <v>1375</v>
      </c>
      <c r="M139" s="71" t="s">
        <v>1376</v>
      </c>
      <c r="N139" s="70" t="s">
        <v>1377</v>
      </c>
    </row>
    <row r="140" customHeight="1" spans="8:14">
      <c r="H140" s="47" t="s">
        <v>1031</v>
      </c>
      <c r="I140" s="47" t="s">
        <v>1378</v>
      </c>
      <c r="J140" s="47" t="s">
        <v>916</v>
      </c>
    </row>
    <row r="141" customHeight="1" spans="8:14">
      <c r="H141" s="47" t="s">
        <v>1031</v>
      </c>
      <c r="I141" s="47" t="s">
        <v>1379</v>
      </c>
      <c r="J141" s="47" t="s">
        <v>916</v>
      </c>
    </row>
    <row r="142" customHeight="1" spans="8:14">
      <c r="H142" s="47" t="s">
        <v>1031</v>
      </c>
      <c r="I142" s="47" t="s">
        <v>1380</v>
      </c>
      <c r="J142" s="47" t="s">
        <v>916</v>
      </c>
    </row>
    <row r="143" customHeight="1" spans="8:14">
      <c r="H143" s="47" t="s">
        <v>1031</v>
      </c>
      <c r="I143" s="47" t="s">
        <v>1381</v>
      </c>
      <c r="J143" s="47" t="s">
        <v>916</v>
      </c>
    </row>
    <row r="144" customHeight="1" spans="8:14">
      <c r="H144" s="47" t="s">
        <v>1031</v>
      </c>
      <c r="I144" s="47" t="s">
        <v>1382</v>
      </c>
      <c r="J144" s="47" t="s">
        <v>916</v>
      </c>
    </row>
    <row r="145" customHeight="1" spans="8:10">
      <c r="H145" s="47" t="s">
        <v>1031</v>
      </c>
      <c r="I145" s="47" t="s">
        <v>1383</v>
      </c>
      <c r="J145" s="47" t="s">
        <v>916</v>
      </c>
    </row>
    <row r="146" customHeight="1" spans="8:10">
      <c r="H146" s="47" t="s">
        <v>1031</v>
      </c>
      <c r="I146" s="47" t="s">
        <v>1384</v>
      </c>
      <c r="J146" s="47" t="s">
        <v>916</v>
      </c>
    </row>
    <row r="147" customHeight="1" spans="8:10">
      <c r="H147" s="47" t="s">
        <v>1031</v>
      </c>
      <c r="I147" s="47" t="s">
        <v>1385</v>
      </c>
      <c r="J147" s="47" t="s">
        <v>916</v>
      </c>
    </row>
    <row r="148" customHeight="1" spans="8:10">
      <c r="H148" s="47" t="s">
        <v>1031</v>
      </c>
      <c r="I148" s="47" t="s">
        <v>1386</v>
      </c>
      <c r="J148" s="47" t="s">
        <v>916</v>
      </c>
    </row>
    <row r="149" customHeight="1" spans="8:10">
      <c r="H149" s="47" t="s">
        <v>1031</v>
      </c>
      <c r="I149" s="47" t="s">
        <v>1387</v>
      </c>
      <c r="J149" s="47" t="s">
        <v>916</v>
      </c>
    </row>
    <row r="150" customHeight="1" spans="8:10">
      <c r="H150" s="47" t="s">
        <v>1031</v>
      </c>
      <c r="I150" s="47" t="s">
        <v>1388</v>
      </c>
      <c r="J150" s="47" t="s">
        <v>916</v>
      </c>
    </row>
    <row r="151" customHeight="1" spans="8:10">
      <c r="H151" s="47" t="s">
        <v>1031</v>
      </c>
      <c r="I151" s="47" t="s">
        <v>1389</v>
      </c>
      <c r="J151" s="47" t="s">
        <v>916</v>
      </c>
    </row>
    <row r="152" customHeight="1" spans="8:10">
      <c r="H152" s="47" t="s">
        <v>1031</v>
      </c>
      <c r="I152" s="47" t="s">
        <v>1390</v>
      </c>
      <c r="J152" s="47" t="s">
        <v>916</v>
      </c>
    </row>
    <row r="153" customHeight="1" spans="8:10">
      <c r="H153" s="47" t="s">
        <v>1031</v>
      </c>
      <c r="I153" s="47" t="s">
        <v>1391</v>
      </c>
      <c r="J153" s="47" t="s">
        <v>916</v>
      </c>
    </row>
    <row r="154" customHeight="1" spans="8:10">
      <c r="H154" s="47" t="s">
        <v>1031</v>
      </c>
      <c r="I154" s="47" t="s">
        <v>1392</v>
      </c>
      <c r="J154" s="47" t="s">
        <v>916</v>
      </c>
    </row>
    <row r="155" customHeight="1" spans="8:10">
      <c r="H155" s="47" t="s">
        <v>1031</v>
      </c>
      <c r="I155" s="47" t="s">
        <v>1393</v>
      </c>
      <c r="J155" s="47" t="s">
        <v>916</v>
      </c>
    </row>
    <row r="156" customHeight="1" spans="8:10">
      <c r="H156" s="47" t="s">
        <v>1031</v>
      </c>
      <c r="I156" s="47" t="s">
        <v>1394</v>
      </c>
      <c r="J156" s="47" t="s">
        <v>916</v>
      </c>
    </row>
    <row r="157" customHeight="1" spans="8:10">
      <c r="H157" s="47" t="s">
        <v>1031</v>
      </c>
      <c r="I157" s="47" t="s">
        <v>1395</v>
      </c>
      <c r="J157" s="47" t="s">
        <v>916</v>
      </c>
    </row>
    <row r="158" customHeight="1" spans="8:10">
      <c r="H158" s="47" t="s">
        <v>1031</v>
      </c>
      <c r="I158" s="47" t="s">
        <v>1396</v>
      </c>
      <c r="J158" s="47" t="s">
        <v>916</v>
      </c>
    </row>
    <row r="159" customHeight="1" spans="8:10">
      <c r="H159" s="47" t="s">
        <v>1031</v>
      </c>
      <c r="I159" s="47" t="s">
        <v>1397</v>
      </c>
      <c r="J159" s="47" t="s">
        <v>916</v>
      </c>
    </row>
    <row r="160" customHeight="1" spans="8:10">
      <c r="H160" s="47" t="s">
        <v>1031</v>
      </c>
      <c r="I160" s="47" t="s">
        <v>1398</v>
      </c>
      <c r="J160" s="47" t="s">
        <v>916</v>
      </c>
    </row>
    <row r="161" customHeight="1" spans="8:10">
      <c r="H161" s="47" t="s">
        <v>1031</v>
      </c>
      <c r="I161" s="47" t="s">
        <v>1399</v>
      </c>
      <c r="J161" s="47" t="s">
        <v>916</v>
      </c>
    </row>
    <row r="162" customHeight="1" spans="8:10">
      <c r="H162" s="47" t="s">
        <v>1031</v>
      </c>
      <c r="I162" s="47" t="s">
        <v>1400</v>
      </c>
      <c r="J162" s="47" t="s">
        <v>916</v>
      </c>
    </row>
    <row r="163" customHeight="1" spans="8:10">
      <c r="H163" s="47" t="s">
        <v>1031</v>
      </c>
      <c r="I163" s="47" t="s">
        <v>1392</v>
      </c>
      <c r="J163" s="47" t="s">
        <v>916</v>
      </c>
    </row>
    <row r="164" customHeight="1" spans="8:10">
      <c r="H164" s="47" t="s">
        <v>1031</v>
      </c>
      <c r="I164" s="47" t="s">
        <v>1401</v>
      </c>
      <c r="J164" s="47" t="s">
        <v>916</v>
      </c>
    </row>
    <row r="165" customHeight="1" spans="8:10">
      <c r="H165" s="47" t="s">
        <v>1031</v>
      </c>
      <c r="I165" s="47" t="s">
        <v>1402</v>
      </c>
      <c r="J165" s="47" t="s">
        <v>916</v>
      </c>
    </row>
    <row r="166" customHeight="1" spans="8:10">
      <c r="H166" s="47" t="s">
        <v>1031</v>
      </c>
      <c r="I166" s="47" t="s">
        <v>1403</v>
      </c>
      <c r="J166" s="47" t="s">
        <v>916</v>
      </c>
    </row>
    <row r="167" customHeight="1" spans="8:10">
      <c r="H167" s="47" t="s">
        <v>1031</v>
      </c>
      <c r="I167" s="47" t="s">
        <v>1404</v>
      </c>
      <c r="J167" s="47" t="s">
        <v>916</v>
      </c>
    </row>
    <row r="168" customHeight="1" spans="8:10">
      <c r="H168" s="47" t="s">
        <v>1031</v>
      </c>
      <c r="I168" s="47" t="s">
        <v>1405</v>
      </c>
      <c r="J168" s="47" t="s">
        <v>916</v>
      </c>
    </row>
    <row r="169" customHeight="1" spans="8:10">
      <c r="H169" s="47" t="s">
        <v>1031</v>
      </c>
      <c r="I169" s="47" t="s">
        <v>1406</v>
      </c>
      <c r="J169" s="47" t="s">
        <v>916</v>
      </c>
    </row>
    <row r="170" customHeight="1" spans="8:10">
      <c r="H170" s="47" t="s">
        <v>1031</v>
      </c>
      <c r="I170" s="47" t="s">
        <v>1407</v>
      </c>
      <c r="J170" s="47" t="s">
        <v>916</v>
      </c>
    </row>
    <row r="171" customHeight="1" spans="8:10">
      <c r="H171" s="47" t="s">
        <v>1031</v>
      </c>
      <c r="I171" s="47" t="s">
        <v>1408</v>
      </c>
      <c r="J171" s="47" t="s">
        <v>916</v>
      </c>
    </row>
    <row r="172" customHeight="1" spans="8:10">
      <c r="H172" s="47" t="s">
        <v>1031</v>
      </c>
      <c r="I172" s="47" t="s">
        <v>1409</v>
      </c>
      <c r="J172" s="47" t="s">
        <v>916</v>
      </c>
    </row>
    <row r="173" customHeight="1" spans="8:10">
      <c r="H173" s="47" t="s">
        <v>1031</v>
      </c>
      <c r="I173" s="47" t="s">
        <v>1410</v>
      </c>
      <c r="J173" s="47" t="s">
        <v>916</v>
      </c>
    </row>
    <row r="174" customHeight="1" spans="8:10">
      <c r="H174" s="47" t="s">
        <v>1031</v>
      </c>
      <c r="I174" s="47" t="s">
        <v>1411</v>
      </c>
      <c r="J174" s="47" t="s">
        <v>916</v>
      </c>
    </row>
    <row r="175" customHeight="1" spans="8:10">
      <c r="H175" s="47" t="s">
        <v>1031</v>
      </c>
      <c r="I175" s="47" t="s">
        <v>1412</v>
      </c>
      <c r="J175" s="47" t="s">
        <v>916</v>
      </c>
    </row>
    <row r="176" customHeight="1" spans="8:10">
      <c r="H176" s="47" t="s">
        <v>1031</v>
      </c>
      <c r="I176" s="47" t="s">
        <v>1413</v>
      </c>
      <c r="J176" s="47" t="s">
        <v>916</v>
      </c>
    </row>
    <row r="177" customHeight="1" spans="8:10">
      <c r="H177" s="47" t="s">
        <v>1031</v>
      </c>
      <c r="I177" s="47" t="s">
        <v>1414</v>
      </c>
      <c r="J177" s="47" t="s">
        <v>916</v>
      </c>
    </row>
    <row r="178" customHeight="1" spans="8:10">
      <c r="H178" s="47" t="s">
        <v>1031</v>
      </c>
      <c r="I178" s="47" t="s">
        <v>1415</v>
      </c>
      <c r="J178" s="47" t="s">
        <v>916</v>
      </c>
    </row>
    <row r="179" customHeight="1" spans="8:10">
      <c r="H179" s="47" t="s">
        <v>1031</v>
      </c>
      <c r="I179" s="47" t="s">
        <v>1416</v>
      </c>
      <c r="J179" s="47" t="s">
        <v>916</v>
      </c>
    </row>
    <row r="180" customHeight="1" spans="8:10">
      <c r="H180" s="47" t="s">
        <v>1031</v>
      </c>
      <c r="I180" s="47" t="s">
        <v>1417</v>
      </c>
      <c r="J180" s="47" t="s">
        <v>916</v>
      </c>
    </row>
    <row r="181" customHeight="1" spans="8:10">
      <c r="H181" s="47" t="s">
        <v>1031</v>
      </c>
      <c r="I181" s="47" t="s">
        <v>1418</v>
      </c>
      <c r="J181" s="47" t="s">
        <v>916</v>
      </c>
    </row>
    <row r="182" customHeight="1" spans="8:10">
      <c r="H182" s="47" t="s">
        <v>1031</v>
      </c>
      <c r="I182" s="47" t="s">
        <v>1419</v>
      </c>
      <c r="J182" s="47" t="s">
        <v>916</v>
      </c>
    </row>
    <row r="183" customHeight="1" spans="8:10">
      <c r="H183" s="47" t="s">
        <v>1031</v>
      </c>
      <c r="I183" s="47" t="s">
        <v>1420</v>
      </c>
      <c r="J183" s="47" t="s">
        <v>916</v>
      </c>
    </row>
    <row r="184" customHeight="1" spans="8:10">
      <c r="H184" s="47" t="s">
        <v>1031</v>
      </c>
      <c r="I184" s="47" t="s">
        <v>1421</v>
      </c>
      <c r="J184" s="47" t="s">
        <v>916</v>
      </c>
    </row>
    <row r="185" customHeight="1" spans="8:10">
      <c r="H185" s="47" t="s">
        <v>1031</v>
      </c>
      <c r="I185" s="47" t="s">
        <v>1422</v>
      </c>
      <c r="J185" s="47" t="s">
        <v>916</v>
      </c>
    </row>
    <row r="186" customHeight="1" spans="8:10">
      <c r="H186" s="47" t="s">
        <v>1031</v>
      </c>
      <c r="I186" s="47" t="s">
        <v>1423</v>
      </c>
      <c r="J186" s="47" t="s">
        <v>916</v>
      </c>
    </row>
    <row r="187" customHeight="1" spans="8:10">
      <c r="H187" s="47" t="s">
        <v>1031</v>
      </c>
      <c r="I187" s="47" t="s">
        <v>1424</v>
      </c>
      <c r="J187" s="47" t="s">
        <v>916</v>
      </c>
    </row>
    <row r="188" customHeight="1" spans="8:10">
      <c r="H188" s="47" t="s">
        <v>1031</v>
      </c>
      <c r="I188" s="47" t="s">
        <v>1425</v>
      </c>
      <c r="J188" s="47" t="s">
        <v>916</v>
      </c>
    </row>
    <row r="189" customHeight="1" spans="8:10">
      <c r="H189" s="47" t="s">
        <v>1031</v>
      </c>
      <c r="I189" s="47" t="s">
        <v>1426</v>
      </c>
      <c r="J189" s="47" t="s">
        <v>916</v>
      </c>
    </row>
    <row r="190" customHeight="1" spans="8:10">
      <c r="H190" s="47" t="s">
        <v>1031</v>
      </c>
      <c r="I190" s="47" t="s">
        <v>1427</v>
      </c>
      <c r="J190" s="47" t="s">
        <v>916</v>
      </c>
    </row>
    <row r="191" customHeight="1" spans="8:10">
      <c r="H191" s="47" t="s">
        <v>1031</v>
      </c>
      <c r="I191" s="47" t="s">
        <v>1428</v>
      </c>
      <c r="J191" s="47" t="s">
        <v>916</v>
      </c>
    </row>
    <row r="192" customHeight="1" spans="8:10">
      <c r="H192" s="47" t="s">
        <v>1031</v>
      </c>
      <c r="I192" s="47" t="s">
        <v>1429</v>
      </c>
      <c r="J192" s="47" t="s">
        <v>916</v>
      </c>
    </row>
    <row r="193" customHeight="1" spans="8:10">
      <c r="H193" s="47" t="s">
        <v>1031</v>
      </c>
      <c r="I193" s="47" t="s">
        <v>1430</v>
      </c>
      <c r="J193" s="47" t="s">
        <v>916</v>
      </c>
    </row>
    <row r="194" customHeight="1" spans="8:10">
      <c r="H194" s="47" t="s">
        <v>1031</v>
      </c>
      <c r="I194" s="47" t="s">
        <v>1431</v>
      </c>
      <c r="J194" s="47" t="s">
        <v>916</v>
      </c>
    </row>
    <row r="195" customHeight="1" spans="8:10">
      <c r="H195" s="47" t="s">
        <v>1031</v>
      </c>
      <c r="I195" s="47" t="s">
        <v>1432</v>
      </c>
      <c r="J195" s="47" t="s">
        <v>916</v>
      </c>
    </row>
    <row r="196" customHeight="1" spans="8:10">
      <c r="H196" s="47" t="s">
        <v>1031</v>
      </c>
      <c r="I196" s="47" t="s">
        <v>1433</v>
      </c>
      <c r="J196" s="47" t="s">
        <v>916</v>
      </c>
    </row>
    <row r="197" customHeight="1" spans="8:10">
      <c r="H197" s="47" t="s">
        <v>1031</v>
      </c>
      <c r="I197" s="47" t="s">
        <v>1434</v>
      </c>
      <c r="J197" s="47" t="s">
        <v>916</v>
      </c>
    </row>
    <row r="198" customHeight="1" spans="8:10">
      <c r="H198" s="47" t="s">
        <v>1031</v>
      </c>
      <c r="I198" s="47" t="s">
        <v>1435</v>
      </c>
      <c r="J198" s="47" t="s">
        <v>916</v>
      </c>
    </row>
    <row r="199" customHeight="1" spans="8:10">
      <c r="H199" s="47" t="s">
        <v>1031</v>
      </c>
      <c r="I199" s="47" t="s">
        <v>1436</v>
      </c>
      <c r="J199" s="47" t="s">
        <v>916</v>
      </c>
    </row>
    <row r="200" customHeight="1" spans="8:10">
      <c r="H200" s="47" t="s">
        <v>1031</v>
      </c>
      <c r="I200" s="47" t="s">
        <v>1437</v>
      </c>
      <c r="J200" s="47" t="s">
        <v>916</v>
      </c>
    </row>
    <row r="201" customHeight="1" spans="8:10">
      <c r="H201" s="47" t="s">
        <v>1031</v>
      </c>
      <c r="I201" s="47" t="s">
        <v>1438</v>
      </c>
      <c r="J201" s="47" t="s">
        <v>916</v>
      </c>
    </row>
    <row r="202" customHeight="1" spans="8:10">
      <c r="H202" s="47" t="s">
        <v>1031</v>
      </c>
      <c r="I202" s="47" t="s">
        <v>1439</v>
      </c>
      <c r="J202" s="47" t="s">
        <v>916</v>
      </c>
    </row>
    <row r="203" customHeight="1" spans="8:10">
      <c r="H203" s="47" t="s">
        <v>1031</v>
      </c>
      <c r="I203" s="47" t="s">
        <v>1440</v>
      </c>
      <c r="J203" s="47" t="s">
        <v>916</v>
      </c>
    </row>
    <row r="204" customHeight="1" spans="8:10">
      <c r="H204" s="47" t="s">
        <v>1031</v>
      </c>
      <c r="I204" s="47" t="s">
        <v>1441</v>
      </c>
      <c r="J204" s="47" t="s">
        <v>916</v>
      </c>
    </row>
    <row r="205" customHeight="1" spans="8:10">
      <c r="H205" s="47" t="s">
        <v>1031</v>
      </c>
      <c r="I205" s="47" t="s">
        <v>1442</v>
      </c>
      <c r="J205" s="47" t="s">
        <v>916</v>
      </c>
    </row>
    <row r="206" customHeight="1" spans="8:10">
      <c r="H206" s="47" t="s">
        <v>1031</v>
      </c>
      <c r="I206" s="47" t="s">
        <v>1443</v>
      </c>
      <c r="J206" s="47" t="s">
        <v>916</v>
      </c>
    </row>
    <row r="207" customHeight="1" spans="8:10">
      <c r="H207" s="47" t="s">
        <v>1031</v>
      </c>
      <c r="I207" s="47" t="s">
        <v>1444</v>
      </c>
      <c r="J207" s="47" t="s">
        <v>916</v>
      </c>
    </row>
    <row r="208" customHeight="1" spans="8:10">
      <c r="H208" s="47" t="s">
        <v>1031</v>
      </c>
      <c r="I208" s="47" t="s">
        <v>1445</v>
      </c>
      <c r="J208" s="47" t="s">
        <v>916</v>
      </c>
    </row>
    <row r="209" customHeight="1" spans="8:10">
      <c r="H209" s="47" t="s">
        <v>1031</v>
      </c>
      <c r="I209" s="47" t="s">
        <v>1446</v>
      </c>
      <c r="J209" s="47" t="s">
        <v>916</v>
      </c>
    </row>
    <row r="210" customHeight="1" spans="8:10">
      <c r="H210" s="47" t="s">
        <v>1031</v>
      </c>
      <c r="I210" s="47" t="s">
        <v>1447</v>
      </c>
      <c r="J210" s="47" t="s">
        <v>916</v>
      </c>
    </row>
    <row r="211" customHeight="1" spans="8:10">
      <c r="H211" s="47" t="s">
        <v>1031</v>
      </c>
      <c r="I211" s="47" t="s">
        <v>1448</v>
      </c>
      <c r="J211" s="47" t="s">
        <v>916</v>
      </c>
    </row>
    <row r="212" customHeight="1" spans="8:10">
      <c r="H212" s="47" t="s">
        <v>1031</v>
      </c>
      <c r="I212" s="47" t="s">
        <v>1449</v>
      </c>
      <c r="J212" s="47" t="s">
        <v>916</v>
      </c>
    </row>
    <row r="213" customHeight="1" spans="8:10">
      <c r="H213" s="47" t="s">
        <v>1031</v>
      </c>
      <c r="I213" s="47" t="s">
        <v>1450</v>
      </c>
      <c r="J213" s="47" t="s">
        <v>916</v>
      </c>
    </row>
    <row r="214" customHeight="1" spans="8:10">
      <c r="H214" s="47" t="s">
        <v>1451</v>
      </c>
      <c r="I214" s="47" t="s">
        <v>1452</v>
      </c>
      <c r="J214" s="47" t="s">
        <v>916</v>
      </c>
    </row>
    <row r="215" customHeight="1" spans="8:10">
      <c r="H215" s="47" t="s">
        <v>1451</v>
      </c>
      <c r="I215" s="47" t="s">
        <v>1453</v>
      </c>
      <c r="J215" s="47" t="s">
        <v>916</v>
      </c>
    </row>
    <row r="216" customHeight="1" spans="8:10">
      <c r="H216" s="47" t="s">
        <v>1451</v>
      </c>
      <c r="I216" s="47" t="s">
        <v>1202</v>
      </c>
      <c r="J216" s="47" t="s">
        <v>916</v>
      </c>
    </row>
    <row r="217" customHeight="1" spans="8:10">
      <c r="H217" s="47" t="s">
        <v>1451</v>
      </c>
      <c r="I217" s="47" t="s">
        <v>1454</v>
      </c>
      <c r="J217" s="47" t="s">
        <v>916</v>
      </c>
    </row>
    <row r="218" customHeight="1" spans="8:10">
      <c r="H218" s="47" t="s">
        <v>1451</v>
      </c>
      <c r="I218" s="47" t="s">
        <v>1455</v>
      </c>
      <c r="J218" s="47" t="s">
        <v>916</v>
      </c>
    </row>
    <row r="219" customHeight="1" spans="8:10">
      <c r="H219" s="47" t="s">
        <v>1451</v>
      </c>
      <c r="I219" s="47" t="s">
        <v>1456</v>
      </c>
      <c r="J219" s="47" t="s">
        <v>916</v>
      </c>
    </row>
    <row r="220" customHeight="1" spans="8:10">
      <c r="H220" s="47" t="s">
        <v>1451</v>
      </c>
      <c r="I220" s="47" t="s">
        <v>1457</v>
      </c>
      <c r="J220" s="47" t="s">
        <v>916</v>
      </c>
    </row>
    <row r="221" customHeight="1" spans="8:10">
      <c r="H221" s="47" t="s">
        <v>1451</v>
      </c>
      <c r="I221" s="47" t="s">
        <v>1458</v>
      </c>
      <c r="J221" s="47" t="s">
        <v>916</v>
      </c>
    </row>
    <row r="222" customHeight="1" spans="8:10">
      <c r="H222" s="47" t="s">
        <v>1451</v>
      </c>
      <c r="I222" s="47" t="s">
        <v>1052</v>
      </c>
      <c r="J222" s="47" t="s">
        <v>916</v>
      </c>
    </row>
    <row r="223" customHeight="1" spans="8:10">
      <c r="H223" s="47" t="s">
        <v>1451</v>
      </c>
      <c r="I223" s="47" t="s">
        <v>1459</v>
      </c>
      <c r="J223" s="47" t="s">
        <v>916</v>
      </c>
    </row>
    <row r="224" customHeight="1" spans="8:10">
      <c r="H224" s="47" t="s">
        <v>1451</v>
      </c>
      <c r="I224" s="47" t="s">
        <v>1460</v>
      </c>
      <c r="J224" s="47" t="s">
        <v>916</v>
      </c>
    </row>
    <row r="225" customHeight="1" spans="8:10">
      <c r="H225" s="47" t="s">
        <v>1451</v>
      </c>
      <c r="I225" s="47" t="s">
        <v>1461</v>
      </c>
      <c r="J225" s="47" t="s">
        <v>916</v>
      </c>
    </row>
    <row r="226" customHeight="1" spans="8:10">
      <c r="H226" s="47" t="s">
        <v>1451</v>
      </c>
      <c r="I226" s="47" t="s">
        <v>1462</v>
      </c>
      <c r="J226" s="47" t="s">
        <v>916</v>
      </c>
    </row>
    <row r="227" customHeight="1" spans="8:10">
      <c r="H227" s="47" t="s">
        <v>1451</v>
      </c>
      <c r="I227" s="47" t="s">
        <v>1463</v>
      </c>
      <c r="J227" s="47" t="s">
        <v>916</v>
      </c>
    </row>
    <row r="228" customHeight="1" spans="8:10">
      <c r="H228" s="47" t="s">
        <v>1451</v>
      </c>
      <c r="I228" s="47" t="s">
        <v>1464</v>
      </c>
      <c r="J228" s="47" t="s">
        <v>916</v>
      </c>
    </row>
    <row r="229" customHeight="1" spans="8:10">
      <c r="H229" s="47" t="s">
        <v>1451</v>
      </c>
      <c r="I229" s="47" t="s">
        <v>1465</v>
      </c>
      <c r="J229" s="47" t="s">
        <v>916</v>
      </c>
    </row>
    <row r="230" customHeight="1" spans="8:10">
      <c r="H230" s="47" t="s">
        <v>1451</v>
      </c>
      <c r="I230" s="47" t="s">
        <v>1466</v>
      </c>
      <c r="J230" s="47" t="s">
        <v>916</v>
      </c>
    </row>
    <row r="231" customHeight="1" spans="8:10">
      <c r="H231" s="47" t="s">
        <v>1451</v>
      </c>
      <c r="I231" s="47" t="s">
        <v>1467</v>
      </c>
      <c r="J231" s="47" t="s">
        <v>916</v>
      </c>
    </row>
    <row r="232" customHeight="1" spans="8:10">
      <c r="H232" s="47" t="s">
        <v>1451</v>
      </c>
      <c r="I232" s="47" t="s">
        <v>1468</v>
      </c>
      <c r="J232" s="47" t="s">
        <v>916</v>
      </c>
    </row>
    <row r="233" customHeight="1" spans="8:10">
      <c r="H233" s="47" t="s">
        <v>1451</v>
      </c>
      <c r="I233" s="47" t="s">
        <v>1469</v>
      </c>
      <c r="J233" s="47" t="s">
        <v>916</v>
      </c>
    </row>
    <row r="234" customHeight="1" spans="8:10">
      <c r="H234" s="47" t="s">
        <v>1451</v>
      </c>
      <c r="I234" s="47" t="s">
        <v>1470</v>
      </c>
      <c r="J234" s="47" t="s">
        <v>916</v>
      </c>
    </row>
    <row r="235" customHeight="1" spans="8:10">
      <c r="H235" s="47" t="s">
        <v>1451</v>
      </c>
      <c r="I235" s="47" t="s">
        <v>1471</v>
      </c>
      <c r="J235" s="47" t="s">
        <v>916</v>
      </c>
    </row>
    <row r="236" customHeight="1" spans="8:10">
      <c r="H236" s="47" t="s">
        <v>1451</v>
      </c>
      <c r="I236" s="47" t="s">
        <v>1472</v>
      </c>
      <c r="J236" s="47" t="s">
        <v>916</v>
      </c>
    </row>
    <row r="237" customHeight="1" spans="8:10">
      <c r="H237" s="47" t="s">
        <v>1451</v>
      </c>
      <c r="I237" s="47" t="s">
        <v>1473</v>
      </c>
      <c r="J237" s="47" t="s">
        <v>916</v>
      </c>
    </row>
    <row r="238" customHeight="1" spans="8:10">
      <c r="H238" s="47" t="s">
        <v>1451</v>
      </c>
      <c r="I238" s="47" t="s">
        <v>1474</v>
      </c>
      <c r="J238" s="47" t="s">
        <v>916</v>
      </c>
    </row>
    <row r="239" customHeight="1" spans="8:10">
      <c r="H239" s="47" t="s">
        <v>1475</v>
      </c>
      <c r="I239" s="47" t="s">
        <v>1275</v>
      </c>
      <c r="J239" s="47" t="s">
        <v>916</v>
      </c>
    </row>
    <row r="240" customHeight="1" spans="8:10">
      <c r="H240" s="47" t="s">
        <v>1475</v>
      </c>
      <c r="I240" s="47" t="s">
        <v>1087</v>
      </c>
      <c r="J240" s="47" t="s">
        <v>916</v>
      </c>
    </row>
    <row r="241" customHeight="1" spans="8:10">
      <c r="H241" s="47" t="s">
        <v>1475</v>
      </c>
      <c r="I241" s="47" t="s">
        <v>1280</v>
      </c>
      <c r="J241" s="47" t="s">
        <v>916</v>
      </c>
    </row>
    <row r="242" customHeight="1" spans="8:10">
      <c r="H242" s="47" t="s">
        <v>1475</v>
      </c>
      <c r="I242" s="47" t="s">
        <v>1283</v>
      </c>
      <c r="J242" s="47" t="s">
        <v>916</v>
      </c>
    </row>
    <row r="243" customHeight="1" spans="8:10">
      <c r="H243" s="47" t="s">
        <v>1475</v>
      </c>
      <c r="I243" s="47" t="s">
        <v>1092</v>
      </c>
      <c r="J243" s="47" t="s">
        <v>916</v>
      </c>
    </row>
    <row r="244" customHeight="1" spans="8:10">
      <c r="H244" s="47" t="s">
        <v>1475</v>
      </c>
      <c r="I244" s="47" t="s">
        <v>1096</v>
      </c>
      <c r="J244" s="47" t="s">
        <v>916</v>
      </c>
    </row>
    <row r="245" customHeight="1" spans="8:10">
      <c r="H245" s="47" t="s">
        <v>1475</v>
      </c>
      <c r="I245" s="47" t="s">
        <v>1101</v>
      </c>
      <c r="J245" s="47" t="s">
        <v>916</v>
      </c>
    </row>
    <row r="246" customHeight="1" spans="8:10">
      <c r="H246" s="47" t="s">
        <v>1475</v>
      </c>
      <c r="I246" s="47" t="s">
        <v>1476</v>
      </c>
      <c r="J246" s="47" t="s">
        <v>916</v>
      </c>
    </row>
    <row r="247" customHeight="1" spans="8:10">
      <c r="H247" s="47" t="s">
        <v>1475</v>
      </c>
      <c r="I247" s="47" t="s">
        <v>1477</v>
      </c>
      <c r="J247" s="47" t="s">
        <v>916</v>
      </c>
    </row>
    <row r="248" customHeight="1" spans="8:10">
      <c r="H248" s="47" t="s">
        <v>1475</v>
      </c>
      <c r="I248" s="47" t="s">
        <v>1478</v>
      </c>
      <c r="J248" s="47" t="s">
        <v>916</v>
      </c>
    </row>
    <row r="249" customHeight="1" spans="8:10">
      <c r="H249" s="47" t="s">
        <v>1475</v>
      </c>
      <c r="I249" s="47" t="s">
        <v>1479</v>
      </c>
      <c r="J249" s="47" t="s">
        <v>916</v>
      </c>
    </row>
    <row r="250" customHeight="1" spans="8:10">
      <c r="H250" s="47" t="s">
        <v>1475</v>
      </c>
      <c r="I250" s="47" t="s">
        <v>1480</v>
      </c>
      <c r="J250" s="47" t="s">
        <v>916</v>
      </c>
    </row>
    <row r="251" customHeight="1" spans="8:10">
      <c r="H251" s="47" t="s">
        <v>1475</v>
      </c>
      <c r="I251" s="47" t="s">
        <v>1481</v>
      </c>
      <c r="J251" s="47" t="s">
        <v>916</v>
      </c>
    </row>
    <row r="252" customHeight="1" spans="8:10">
      <c r="H252" s="47" t="s">
        <v>1475</v>
      </c>
      <c r="I252" s="47" t="s">
        <v>1482</v>
      </c>
      <c r="J252" s="47" t="s">
        <v>916</v>
      </c>
    </row>
    <row r="253" customHeight="1" spans="8:10">
      <c r="H253" s="47" t="s">
        <v>1475</v>
      </c>
      <c r="I253" s="47" t="s">
        <v>1483</v>
      </c>
      <c r="J253" s="47" t="s">
        <v>916</v>
      </c>
    </row>
    <row r="254" customHeight="1" spans="8:10">
      <c r="H254" s="47" t="s">
        <v>1475</v>
      </c>
      <c r="I254" s="47" t="s">
        <v>1484</v>
      </c>
      <c r="J254" s="47" t="s">
        <v>916</v>
      </c>
    </row>
    <row r="255" customHeight="1" spans="8:10">
      <c r="H255" s="47" t="s">
        <v>1475</v>
      </c>
      <c r="I255" s="47" t="s">
        <v>1485</v>
      </c>
      <c r="J255" s="47" t="s">
        <v>916</v>
      </c>
    </row>
    <row r="256" customHeight="1" spans="8:10">
      <c r="H256" s="47" t="s">
        <v>1475</v>
      </c>
      <c r="I256" s="47" t="s">
        <v>1486</v>
      </c>
      <c r="J256" s="47" t="s">
        <v>916</v>
      </c>
    </row>
    <row r="257" customHeight="1" spans="8:10">
      <c r="H257" s="47" t="s">
        <v>1475</v>
      </c>
      <c r="I257" s="47" t="s">
        <v>1487</v>
      </c>
      <c r="J257" s="47" t="s">
        <v>916</v>
      </c>
    </row>
    <row r="258" customHeight="1" spans="8:10">
      <c r="H258" s="47" t="s">
        <v>1475</v>
      </c>
      <c r="I258" s="47" t="s">
        <v>1488</v>
      </c>
      <c r="J258" s="47" t="s">
        <v>916</v>
      </c>
    </row>
    <row r="259" customHeight="1" spans="8:10">
      <c r="H259" s="47" t="s">
        <v>1475</v>
      </c>
      <c r="I259" s="47" t="s">
        <v>1489</v>
      </c>
      <c r="J259" s="47" t="s">
        <v>916</v>
      </c>
    </row>
    <row r="260" customHeight="1" spans="8:10">
      <c r="H260" s="47" t="s">
        <v>1475</v>
      </c>
      <c r="I260" s="47" t="s">
        <v>1490</v>
      </c>
      <c r="J260" s="47" t="s">
        <v>916</v>
      </c>
    </row>
    <row r="261" customHeight="1" spans="8:10">
      <c r="H261" s="47" t="s">
        <v>1475</v>
      </c>
      <c r="I261" s="47" t="s">
        <v>1491</v>
      </c>
      <c r="J261" s="47" t="s">
        <v>916</v>
      </c>
    </row>
    <row r="262" customHeight="1" spans="8:10">
      <c r="H262" s="47" t="s">
        <v>1475</v>
      </c>
      <c r="I262" s="47" t="s">
        <v>1492</v>
      </c>
      <c r="J262" s="47" t="s">
        <v>916</v>
      </c>
    </row>
    <row r="263" customHeight="1" spans="8:10">
      <c r="H263" s="47" t="s">
        <v>1475</v>
      </c>
      <c r="I263" s="47" t="s">
        <v>1493</v>
      </c>
      <c r="J263" s="47" t="s">
        <v>916</v>
      </c>
    </row>
    <row r="264" customHeight="1" spans="8:10">
      <c r="H264" s="47" t="s">
        <v>1475</v>
      </c>
      <c r="I264" s="47" t="s">
        <v>1494</v>
      </c>
      <c r="J264" s="47" t="s">
        <v>916</v>
      </c>
    </row>
    <row r="265" customHeight="1" spans="8:10">
      <c r="H265" s="47" t="s">
        <v>1475</v>
      </c>
      <c r="I265" s="47" t="s">
        <v>1495</v>
      </c>
      <c r="J265" s="47" t="s">
        <v>916</v>
      </c>
    </row>
    <row r="266" customHeight="1" spans="8:10">
      <c r="H266" s="47" t="s">
        <v>1475</v>
      </c>
      <c r="I266" s="47" t="s">
        <v>1496</v>
      </c>
      <c r="J266" s="47" t="s">
        <v>916</v>
      </c>
    </row>
    <row r="267" customHeight="1" spans="8:10">
      <c r="H267" s="47" t="s">
        <v>1475</v>
      </c>
      <c r="I267" s="47" t="s">
        <v>1497</v>
      </c>
      <c r="J267" s="47" t="s">
        <v>916</v>
      </c>
    </row>
    <row r="268" customHeight="1" spans="8:10">
      <c r="H268" s="47" t="s">
        <v>1475</v>
      </c>
      <c r="I268" s="47" t="s">
        <v>1498</v>
      </c>
      <c r="J268" s="47" t="s">
        <v>916</v>
      </c>
    </row>
    <row r="269" customHeight="1" spans="8:10">
      <c r="H269" s="47" t="s">
        <v>1475</v>
      </c>
      <c r="I269" s="47" t="s">
        <v>1499</v>
      </c>
      <c r="J269" s="47" t="s">
        <v>916</v>
      </c>
    </row>
    <row r="270" customHeight="1" spans="8:10">
      <c r="H270" s="47" t="s">
        <v>1475</v>
      </c>
      <c r="I270" s="47" t="s">
        <v>1500</v>
      </c>
      <c r="J270" s="47" t="s">
        <v>916</v>
      </c>
    </row>
    <row r="271" customHeight="1" spans="8:10">
      <c r="H271" s="47" t="s">
        <v>1475</v>
      </c>
      <c r="I271" s="47" t="s">
        <v>1501</v>
      </c>
      <c r="J271" s="47" t="s">
        <v>916</v>
      </c>
    </row>
    <row r="272" customHeight="1" spans="8:10">
      <c r="H272" s="47" t="s">
        <v>1475</v>
      </c>
      <c r="I272" s="47" t="s">
        <v>1502</v>
      </c>
      <c r="J272" s="47" t="s">
        <v>916</v>
      </c>
    </row>
    <row r="273" customHeight="1" spans="8:10">
      <c r="H273" s="47" t="s">
        <v>1475</v>
      </c>
      <c r="I273" s="47" t="s">
        <v>1503</v>
      </c>
      <c r="J273" s="47" t="s">
        <v>916</v>
      </c>
    </row>
    <row r="274" customHeight="1" spans="8:10">
      <c r="H274" s="47" t="s">
        <v>1475</v>
      </c>
      <c r="I274" s="47" t="s">
        <v>1504</v>
      </c>
      <c r="J274" s="47" t="s">
        <v>916</v>
      </c>
    </row>
    <row r="275" customHeight="1" spans="8:10">
      <c r="H275" s="47" t="s">
        <v>1475</v>
      </c>
      <c r="I275" s="47" t="s">
        <v>1505</v>
      </c>
      <c r="J275" s="47" t="s">
        <v>916</v>
      </c>
    </row>
    <row r="276" customHeight="1" spans="8:10">
      <c r="H276" s="47" t="s">
        <v>1475</v>
      </c>
      <c r="I276" s="47" t="s">
        <v>1506</v>
      </c>
      <c r="J276" s="47" t="s">
        <v>916</v>
      </c>
    </row>
    <row r="277" customHeight="1" spans="8:10">
      <c r="H277" s="47" t="s">
        <v>1475</v>
      </c>
      <c r="I277" s="47" t="s">
        <v>1507</v>
      </c>
      <c r="J277" s="47" t="s">
        <v>916</v>
      </c>
    </row>
    <row r="278" customHeight="1" spans="8:10">
      <c r="H278" s="47" t="s">
        <v>1475</v>
      </c>
      <c r="I278" s="47" t="s">
        <v>1508</v>
      </c>
      <c r="J278" s="47" t="s">
        <v>916</v>
      </c>
    </row>
    <row r="279" customHeight="1" spans="8:10">
      <c r="H279" s="47" t="s">
        <v>1475</v>
      </c>
      <c r="I279" s="47" t="s">
        <v>1509</v>
      </c>
      <c r="J279" s="47" t="s">
        <v>1020</v>
      </c>
    </row>
    <row r="280" customHeight="1" spans="8:10">
      <c r="H280" s="47" t="s">
        <v>1475</v>
      </c>
      <c r="I280" s="47" t="s">
        <v>1510</v>
      </c>
      <c r="J280" s="47" t="s">
        <v>1020</v>
      </c>
    </row>
    <row r="281" customHeight="1" spans="8:10">
      <c r="H281" s="47" t="s">
        <v>1475</v>
      </c>
      <c r="I281" s="47" t="s">
        <v>1511</v>
      </c>
      <c r="J281" s="47" t="s">
        <v>1020</v>
      </c>
    </row>
    <row r="282" customHeight="1" spans="8:10">
      <c r="H282" s="47" t="s">
        <v>1475</v>
      </c>
      <c r="I282" s="47" t="s">
        <v>1512</v>
      </c>
      <c r="J282" s="47" t="s">
        <v>1020</v>
      </c>
    </row>
    <row r="283" customHeight="1" spans="8:10">
      <c r="H283" s="47" t="s">
        <v>1475</v>
      </c>
      <c r="I283" s="47" t="s">
        <v>1513</v>
      </c>
      <c r="J283" s="47" t="s">
        <v>1020</v>
      </c>
    </row>
    <row r="284" customHeight="1" spans="8:10">
      <c r="H284" s="47" t="s">
        <v>1475</v>
      </c>
      <c r="I284" s="47" t="s">
        <v>1514</v>
      </c>
      <c r="J284" s="47" t="s">
        <v>1020</v>
      </c>
    </row>
    <row r="285" customHeight="1" spans="8:10">
      <c r="H285" s="47" t="s">
        <v>1475</v>
      </c>
      <c r="I285" s="47" t="s">
        <v>1515</v>
      </c>
      <c r="J285" s="47" t="s">
        <v>1020</v>
      </c>
    </row>
    <row r="286" customHeight="1" spans="8:10">
      <c r="H286" s="47" t="s">
        <v>1475</v>
      </c>
      <c r="I286" s="47" t="s">
        <v>1516</v>
      </c>
      <c r="J286" s="47" t="s">
        <v>1020</v>
      </c>
    </row>
    <row r="287" customHeight="1" spans="8:10">
      <c r="H287" s="47" t="s">
        <v>1475</v>
      </c>
      <c r="I287" s="47" t="s">
        <v>1517</v>
      </c>
      <c r="J287" s="47" t="s">
        <v>1020</v>
      </c>
    </row>
    <row r="288" customHeight="1" spans="8:10">
      <c r="H288" s="47" t="s">
        <v>1475</v>
      </c>
      <c r="I288" s="47" t="s">
        <v>1518</v>
      </c>
      <c r="J288" s="47" t="s">
        <v>1020</v>
      </c>
    </row>
    <row r="289" customHeight="1" spans="8:10">
      <c r="H289" s="47" t="s">
        <v>1475</v>
      </c>
      <c r="I289" s="47" t="s">
        <v>1519</v>
      </c>
      <c r="J289" s="47" t="s">
        <v>1020</v>
      </c>
    </row>
    <row r="290" customHeight="1" spans="8:10">
      <c r="H290" s="47" t="s">
        <v>1475</v>
      </c>
      <c r="I290" s="47" t="s">
        <v>1520</v>
      </c>
      <c r="J290" s="47" t="s">
        <v>1020</v>
      </c>
    </row>
    <row r="291" customHeight="1" spans="8:10">
      <c r="H291" s="47" t="s">
        <v>1475</v>
      </c>
      <c r="I291" s="47" t="s">
        <v>1521</v>
      </c>
      <c r="J291" s="47" t="s">
        <v>1020</v>
      </c>
    </row>
    <row r="292" customHeight="1" spans="8:10">
      <c r="H292" s="47" t="s">
        <v>1475</v>
      </c>
      <c r="I292" s="47" t="s">
        <v>1522</v>
      </c>
      <c r="J292" s="47" t="s">
        <v>1020</v>
      </c>
    </row>
    <row r="293" customHeight="1" spans="8:10">
      <c r="H293" s="47" t="s">
        <v>1475</v>
      </c>
      <c r="I293" s="47" t="s">
        <v>1523</v>
      </c>
      <c r="J293" s="47" t="s">
        <v>1020</v>
      </c>
    </row>
    <row r="294" customHeight="1" spans="8:10">
      <c r="H294" s="47" t="s">
        <v>1475</v>
      </c>
      <c r="I294" s="47" t="s">
        <v>1524</v>
      </c>
      <c r="J294" s="47" t="s">
        <v>1020</v>
      </c>
    </row>
    <row r="295" customHeight="1" spans="8:10">
      <c r="H295" s="47" t="s">
        <v>1475</v>
      </c>
      <c r="I295" s="47" t="s">
        <v>1525</v>
      </c>
      <c r="J295" s="47" t="s">
        <v>1020</v>
      </c>
    </row>
    <row r="296" customHeight="1" spans="8:10">
      <c r="H296" s="47" t="s">
        <v>1475</v>
      </c>
      <c r="I296" s="47" t="s">
        <v>1526</v>
      </c>
      <c r="J296" s="47" t="s">
        <v>1020</v>
      </c>
    </row>
    <row r="297" customHeight="1" spans="8:10">
      <c r="H297" s="79" t="s">
        <v>1475</v>
      </c>
      <c r="I297" s="79" t="s">
        <v>1035</v>
      </c>
      <c r="J297" s="79" t="s">
        <v>912</v>
      </c>
    </row>
    <row r="298" customHeight="1" spans="8:10">
      <c r="H298" s="47" t="s">
        <v>1527</v>
      </c>
      <c r="I298" s="47" t="s">
        <v>1528</v>
      </c>
      <c r="J298" s="47" t="s">
        <v>916</v>
      </c>
    </row>
    <row r="299" customHeight="1" spans="8:10">
      <c r="H299" s="47" t="s">
        <v>1527</v>
      </c>
      <c r="I299" s="47" t="s">
        <v>1529</v>
      </c>
      <c r="J299" s="47" t="s">
        <v>916</v>
      </c>
    </row>
    <row r="300" customHeight="1" spans="8:10">
      <c r="H300" s="47" t="s">
        <v>1527</v>
      </c>
      <c r="I300" s="47" t="s">
        <v>1530</v>
      </c>
      <c r="J300" s="47" t="s">
        <v>916</v>
      </c>
    </row>
    <row r="301" customHeight="1" spans="8:10">
      <c r="H301" s="47" t="s">
        <v>1527</v>
      </c>
      <c r="I301" s="47" t="s">
        <v>1531</v>
      </c>
      <c r="J301" s="47" t="s">
        <v>916</v>
      </c>
    </row>
    <row r="302" customHeight="1" spans="8:10">
      <c r="H302" s="47" t="s">
        <v>1527</v>
      </c>
      <c r="I302" s="47" t="s">
        <v>1532</v>
      </c>
      <c r="J302" s="47" t="s">
        <v>916</v>
      </c>
    </row>
    <row r="303" customHeight="1" spans="8:10">
      <c r="H303" s="47" t="s">
        <v>1527</v>
      </c>
      <c r="I303" s="47" t="s">
        <v>1533</v>
      </c>
      <c r="J303" s="47" t="s">
        <v>916</v>
      </c>
    </row>
    <row r="304" customHeight="1" spans="8:10">
      <c r="H304" s="47" t="s">
        <v>1527</v>
      </c>
      <c r="I304" s="47" t="s">
        <v>1534</v>
      </c>
      <c r="J304" s="47" t="s">
        <v>916</v>
      </c>
    </row>
    <row r="305" customHeight="1" spans="8:10">
      <c r="H305" s="47" t="s">
        <v>1527</v>
      </c>
      <c r="I305" s="47" t="s">
        <v>1535</v>
      </c>
      <c r="J305" s="47" t="s">
        <v>916</v>
      </c>
    </row>
    <row r="306" customHeight="1" spans="8:10">
      <c r="H306" s="47" t="s">
        <v>1527</v>
      </c>
      <c r="I306" s="47" t="s">
        <v>1536</v>
      </c>
      <c r="J306" s="47" t="s">
        <v>916</v>
      </c>
    </row>
    <row r="307" customHeight="1" spans="8:10">
      <c r="H307" s="47" t="s">
        <v>1527</v>
      </c>
      <c r="I307" s="47" t="s">
        <v>1537</v>
      </c>
      <c r="J307" s="47" t="s">
        <v>916</v>
      </c>
    </row>
    <row r="308" customHeight="1" spans="8:10">
      <c r="H308" s="47" t="s">
        <v>1527</v>
      </c>
      <c r="I308" s="47" t="s">
        <v>1538</v>
      </c>
      <c r="J308" s="47" t="s">
        <v>916</v>
      </c>
    </row>
    <row r="309" customHeight="1" spans="8:10">
      <c r="H309" s="47" t="s">
        <v>1527</v>
      </c>
      <c r="I309" s="47" t="s">
        <v>1539</v>
      </c>
      <c r="J309" s="47" t="s">
        <v>916</v>
      </c>
    </row>
    <row r="310" customHeight="1" spans="8:10">
      <c r="H310" s="47" t="s">
        <v>1527</v>
      </c>
      <c r="I310" s="47" t="s">
        <v>1540</v>
      </c>
      <c r="J310" s="47" t="s">
        <v>916</v>
      </c>
    </row>
    <row r="311" customHeight="1" spans="8:10">
      <c r="H311" s="47" t="s">
        <v>1527</v>
      </c>
      <c r="I311" s="47" t="s">
        <v>1541</v>
      </c>
      <c r="J311" s="47" t="s">
        <v>916</v>
      </c>
    </row>
    <row r="312" customHeight="1" spans="8:10">
      <c r="H312" s="47" t="s">
        <v>1527</v>
      </c>
      <c r="I312" s="47" t="s">
        <v>1542</v>
      </c>
      <c r="J312" s="47" t="s">
        <v>916</v>
      </c>
    </row>
    <row r="313" customHeight="1" spans="8:10">
      <c r="H313" s="47" t="s">
        <v>1527</v>
      </c>
      <c r="I313" s="47" t="s">
        <v>1528</v>
      </c>
      <c r="J313" s="47" t="s">
        <v>916</v>
      </c>
    </row>
    <row r="314" customHeight="1" spans="8:10">
      <c r="H314" s="47" t="s">
        <v>1527</v>
      </c>
      <c r="I314" s="47" t="s">
        <v>1529</v>
      </c>
      <c r="J314" s="47" t="s">
        <v>916</v>
      </c>
    </row>
    <row r="315" customHeight="1" spans="8:10">
      <c r="H315" s="47" t="s">
        <v>1527</v>
      </c>
      <c r="I315" s="47" t="s">
        <v>1530</v>
      </c>
      <c r="J315" s="47" t="s">
        <v>916</v>
      </c>
    </row>
    <row r="316" customHeight="1" spans="8:10">
      <c r="H316" s="47" t="s">
        <v>1527</v>
      </c>
      <c r="I316" s="47" t="s">
        <v>1531</v>
      </c>
      <c r="J316" s="47" t="s">
        <v>916</v>
      </c>
    </row>
    <row r="317" customHeight="1" spans="8:10">
      <c r="H317" s="47" t="s">
        <v>1527</v>
      </c>
      <c r="I317" s="47" t="s">
        <v>1532</v>
      </c>
      <c r="J317" s="47" t="s">
        <v>916</v>
      </c>
    </row>
    <row r="318" customHeight="1" spans="8:10">
      <c r="H318" s="47" t="s">
        <v>1527</v>
      </c>
      <c r="I318" s="47" t="s">
        <v>1533</v>
      </c>
      <c r="J318" s="47" t="s">
        <v>916</v>
      </c>
    </row>
    <row r="319" customHeight="1" spans="8:10">
      <c r="H319" s="47" t="s">
        <v>1527</v>
      </c>
      <c r="I319" s="47" t="s">
        <v>1534</v>
      </c>
      <c r="J319" s="47" t="s">
        <v>916</v>
      </c>
    </row>
    <row r="320" customHeight="1" spans="8:10">
      <c r="H320" s="47" t="s">
        <v>1527</v>
      </c>
      <c r="I320" s="47" t="s">
        <v>1535</v>
      </c>
      <c r="J320" s="47" t="s">
        <v>916</v>
      </c>
    </row>
    <row r="321" customHeight="1" spans="8:10">
      <c r="H321" s="47" t="s">
        <v>1527</v>
      </c>
      <c r="I321" s="47" t="s">
        <v>1536</v>
      </c>
      <c r="J321" s="47" t="s">
        <v>916</v>
      </c>
    </row>
    <row r="322" customHeight="1" spans="8:10">
      <c r="H322" s="47" t="s">
        <v>1527</v>
      </c>
      <c r="I322" s="47" t="s">
        <v>1537</v>
      </c>
      <c r="J322" s="47" t="s">
        <v>916</v>
      </c>
    </row>
    <row r="323" customHeight="1" spans="8:10">
      <c r="H323" s="47" t="s">
        <v>1527</v>
      </c>
      <c r="I323" s="47" t="s">
        <v>1538</v>
      </c>
      <c r="J323" s="47" t="s">
        <v>916</v>
      </c>
    </row>
    <row r="324" customHeight="1" spans="8:10">
      <c r="H324" s="47" t="s">
        <v>1527</v>
      </c>
      <c r="I324" s="47" t="s">
        <v>1539</v>
      </c>
      <c r="J324" s="47" t="s">
        <v>916</v>
      </c>
    </row>
    <row r="325" customHeight="1" spans="8:10">
      <c r="H325" s="47" t="s">
        <v>1527</v>
      </c>
      <c r="I325" s="47" t="s">
        <v>1540</v>
      </c>
      <c r="J325" s="47" t="s">
        <v>916</v>
      </c>
    </row>
    <row r="326" customHeight="1" spans="8:10">
      <c r="H326" s="47" t="s">
        <v>1527</v>
      </c>
      <c r="I326" s="47" t="s">
        <v>1541</v>
      </c>
      <c r="J326" s="47" t="s">
        <v>916</v>
      </c>
    </row>
    <row r="327" customHeight="1" spans="8:10">
      <c r="H327" s="47" t="s">
        <v>1527</v>
      </c>
      <c r="I327" s="47" t="s">
        <v>1542</v>
      </c>
      <c r="J327" s="47" t="s">
        <v>916</v>
      </c>
    </row>
    <row r="328" customHeight="1" spans="8:10">
      <c r="H328" s="47" t="s">
        <v>1527</v>
      </c>
      <c r="I328" s="47" t="s">
        <v>1543</v>
      </c>
      <c r="J328" s="47" t="s">
        <v>916</v>
      </c>
    </row>
    <row r="329" customHeight="1" spans="8:10">
      <c r="H329" s="47" t="s">
        <v>1527</v>
      </c>
      <c r="I329" s="47" t="s">
        <v>1544</v>
      </c>
      <c r="J329" s="47" t="s">
        <v>916</v>
      </c>
    </row>
    <row r="330" customHeight="1" spans="8:10">
      <c r="H330" s="47" t="s">
        <v>1527</v>
      </c>
      <c r="I330" s="47" t="s">
        <v>1545</v>
      </c>
      <c r="J330" s="47" t="s">
        <v>916</v>
      </c>
    </row>
    <row r="331" customHeight="1" spans="8:10">
      <c r="H331" s="47" t="s">
        <v>1527</v>
      </c>
      <c r="I331" s="47" t="s">
        <v>1546</v>
      </c>
      <c r="J331" s="47" t="s">
        <v>916</v>
      </c>
    </row>
    <row r="332" customHeight="1" spans="8:10">
      <c r="H332" s="47" t="s">
        <v>1527</v>
      </c>
      <c r="I332" s="47" t="s">
        <v>1547</v>
      </c>
      <c r="J332" s="47" t="s">
        <v>916</v>
      </c>
    </row>
    <row r="333" customHeight="1" spans="8:10">
      <c r="H333" s="47" t="s">
        <v>1527</v>
      </c>
      <c r="I333" s="47" t="s">
        <v>1548</v>
      </c>
      <c r="J333" s="47" t="s">
        <v>916</v>
      </c>
    </row>
    <row r="334" customHeight="1" spans="8:10">
      <c r="H334" s="47" t="s">
        <v>1527</v>
      </c>
      <c r="I334" s="47" t="s">
        <v>1549</v>
      </c>
      <c r="J334" s="47" t="s">
        <v>916</v>
      </c>
    </row>
    <row r="335" customHeight="1" spans="8:10">
      <c r="H335" s="47" t="s">
        <v>1527</v>
      </c>
      <c r="I335" s="47" t="s">
        <v>1550</v>
      </c>
      <c r="J335" s="47" t="s">
        <v>916</v>
      </c>
    </row>
    <row r="336" customHeight="1" spans="8:10">
      <c r="H336" s="47" t="s">
        <v>1527</v>
      </c>
      <c r="I336" s="47" t="s">
        <v>1551</v>
      </c>
      <c r="J336" s="47" t="s">
        <v>916</v>
      </c>
    </row>
    <row r="337" customHeight="1" spans="8:10">
      <c r="H337" s="47" t="s">
        <v>1527</v>
      </c>
      <c r="I337" s="47" t="s">
        <v>1552</v>
      </c>
      <c r="J337" s="47" t="s">
        <v>916</v>
      </c>
    </row>
    <row r="338" customHeight="1" spans="8:10">
      <c r="H338" s="47" t="s">
        <v>1527</v>
      </c>
      <c r="I338" s="47" t="s">
        <v>1553</v>
      </c>
      <c r="J338" s="47" t="s">
        <v>916</v>
      </c>
    </row>
    <row r="339" customHeight="1" spans="8:10">
      <c r="H339" s="47" t="s">
        <v>1527</v>
      </c>
      <c r="I339" s="47" t="s">
        <v>1554</v>
      </c>
      <c r="J339" s="47" t="s">
        <v>916</v>
      </c>
    </row>
    <row r="340" customHeight="1" spans="8:10">
      <c r="H340" s="47" t="s">
        <v>1527</v>
      </c>
      <c r="I340" s="47" t="s">
        <v>1555</v>
      </c>
      <c r="J340" s="47" t="s">
        <v>916</v>
      </c>
    </row>
    <row r="341" customHeight="1" spans="8:10">
      <c r="H341" s="47" t="s">
        <v>1527</v>
      </c>
      <c r="I341" s="47" t="s">
        <v>1556</v>
      </c>
      <c r="J341" s="47" t="s">
        <v>916</v>
      </c>
    </row>
    <row r="342" customHeight="1" spans="8:10">
      <c r="H342" s="47" t="s">
        <v>1527</v>
      </c>
      <c r="I342" s="47" t="s">
        <v>1557</v>
      </c>
      <c r="J342" s="47" t="s">
        <v>916</v>
      </c>
    </row>
    <row r="343" customHeight="1" spans="8:10">
      <c r="H343" s="47" t="s">
        <v>1527</v>
      </c>
      <c r="I343" s="47" t="s">
        <v>1558</v>
      </c>
      <c r="J343" s="47" t="s">
        <v>916</v>
      </c>
    </row>
    <row r="344" customHeight="1" spans="8:10">
      <c r="H344" s="47" t="s">
        <v>1527</v>
      </c>
      <c r="I344" s="47" t="s">
        <v>1559</v>
      </c>
      <c r="J344" s="47" t="s">
        <v>916</v>
      </c>
    </row>
    <row r="345" customHeight="1" spans="8:10">
      <c r="H345" s="47" t="s">
        <v>1527</v>
      </c>
      <c r="I345" s="47" t="s">
        <v>1560</v>
      </c>
      <c r="J345" s="47" t="s">
        <v>916</v>
      </c>
    </row>
    <row r="346" customHeight="1" spans="8:10">
      <c r="H346" s="47" t="s">
        <v>1527</v>
      </c>
      <c r="I346" s="47" t="s">
        <v>1561</v>
      </c>
      <c r="J346" s="47" t="s">
        <v>916</v>
      </c>
    </row>
    <row r="347" customHeight="1" spans="8:10">
      <c r="H347" s="47" t="s">
        <v>1527</v>
      </c>
      <c r="I347" s="47" t="s">
        <v>1562</v>
      </c>
      <c r="J347" s="47" t="s">
        <v>916</v>
      </c>
    </row>
    <row r="348" customHeight="1" spans="8:10">
      <c r="H348" s="47" t="s">
        <v>1527</v>
      </c>
      <c r="I348" s="47" t="s">
        <v>1563</v>
      </c>
      <c r="J348" s="47" t="s">
        <v>916</v>
      </c>
    </row>
    <row r="349" customHeight="1" spans="8:10">
      <c r="H349" s="47" t="s">
        <v>1527</v>
      </c>
      <c r="I349" s="47" t="s">
        <v>1564</v>
      </c>
      <c r="J349" s="47" t="s">
        <v>916</v>
      </c>
    </row>
    <row r="350" customHeight="1" spans="8:10">
      <c r="H350" s="47" t="s">
        <v>1527</v>
      </c>
      <c r="I350" s="47" t="s">
        <v>1565</v>
      </c>
      <c r="J350" s="47" t="s">
        <v>916</v>
      </c>
    </row>
    <row r="351" customHeight="1" spans="8:10">
      <c r="H351" s="47" t="s">
        <v>1527</v>
      </c>
      <c r="I351" s="47" t="s">
        <v>1528</v>
      </c>
      <c r="J351" s="47" t="s">
        <v>916</v>
      </c>
    </row>
    <row r="352" customHeight="1" spans="8:10">
      <c r="H352" s="47" t="s">
        <v>1527</v>
      </c>
      <c r="I352" s="47" t="s">
        <v>1529</v>
      </c>
      <c r="J352" s="47" t="s">
        <v>916</v>
      </c>
    </row>
    <row r="353" customHeight="1" spans="8:10">
      <c r="H353" s="47" t="s">
        <v>1527</v>
      </c>
      <c r="I353" s="47" t="s">
        <v>1530</v>
      </c>
      <c r="J353" s="47" t="s">
        <v>916</v>
      </c>
    </row>
    <row r="354" customHeight="1" spans="8:10">
      <c r="H354" s="47" t="s">
        <v>1527</v>
      </c>
      <c r="I354" s="47" t="s">
        <v>1531</v>
      </c>
      <c r="J354" s="47" t="s">
        <v>916</v>
      </c>
    </row>
    <row r="355" customHeight="1" spans="8:10">
      <c r="H355" s="47" t="s">
        <v>1527</v>
      </c>
      <c r="I355" s="47" t="s">
        <v>1532</v>
      </c>
      <c r="J355" s="47" t="s">
        <v>916</v>
      </c>
    </row>
    <row r="356" customHeight="1" spans="8:10">
      <c r="H356" s="47" t="s">
        <v>1527</v>
      </c>
      <c r="I356" s="47" t="s">
        <v>1533</v>
      </c>
      <c r="J356" s="47" t="s">
        <v>916</v>
      </c>
    </row>
    <row r="357" customHeight="1" spans="8:10">
      <c r="H357" s="47" t="s">
        <v>1527</v>
      </c>
      <c r="I357" s="47" t="s">
        <v>1534</v>
      </c>
      <c r="J357" s="47" t="s">
        <v>916</v>
      </c>
    </row>
    <row r="358" customHeight="1" spans="8:10">
      <c r="H358" s="47" t="s">
        <v>1527</v>
      </c>
      <c r="I358" s="47" t="s">
        <v>1535</v>
      </c>
      <c r="J358" s="47" t="s">
        <v>916</v>
      </c>
    </row>
    <row r="359" customHeight="1" spans="8:10">
      <c r="H359" s="47" t="s">
        <v>1527</v>
      </c>
      <c r="I359" s="47" t="s">
        <v>1536</v>
      </c>
      <c r="J359" s="47" t="s">
        <v>916</v>
      </c>
    </row>
    <row r="360" customHeight="1" spans="8:10">
      <c r="H360" s="47" t="s">
        <v>1527</v>
      </c>
      <c r="I360" s="47" t="s">
        <v>1537</v>
      </c>
      <c r="J360" s="47" t="s">
        <v>916</v>
      </c>
    </row>
    <row r="361" customHeight="1" spans="8:10">
      <c r="H361" s="47" t="s">
        <v>1527</v>
      </c>
      <c r="I361" s="47" t="s">
        <v>1538</v>
      </c>
      <c r="J361" s="47" t="s">
        <v>916</v>
      </c>
    </row>
    <row r="362" customHeight="1" spans="8:10">
      <c r="H362" s="47" t="s">
        <v>1527</v>
      </c>
      <c r="I362" s="47" t="s">
        <v>1539</v>
      </c>
      <c r="J362" s="47" t="s">
        <v>916</v>
      </c>
    </row>
    <row r="363" customHeight="1" spans="8:10">
      <c r="H363" s="47" t="s">
        <v>1527</v>
      </c>
      <c r="I363" s="47" t="s">
        <v>1540</v>
      </c>
      <c r="J363" s="47" t="s">
        <v>916</v>
      </c>
    </row>
    <row r="364" customHeight="1" spans="8:10">
      <c r="H364" s="47" t="s">
        <v>1527</v>
      </c>
      <c r="I364" s="47" t="s">
        <v>1541</v>
      </c>
      <c r="J364" s="47" t="s">
        <v>916</v>
      </c>
    </row>
    <row r="365" customHeight="1" spans="8:10">
      <c r="H365" s="47" t="s">
        <v>1527</v>
      </c>
      <c r="I365" s="47" t="s">
        <v>1566</v>
      </c>
      <c r="J365" s="47" t="s">
        <v>916</v>
      </c>
    </row>
    <row r="366" customHeight="1" spans="8:10">
      <c r="H366" s="47" t="s">
        <v>1527</v>
      </c>
      <c r="I366" s="47" t="s">
        <v>1542</v>
      </c>
      <c r="J366" s="47" t="s">
        <v>916</v>
      </c>
    </row>
    <row r="367" customHeight="1" spans="8:10">
      <c r="H367" s="47" t="s">
        <v>1527</v>
      </c>
      <c r="I367" s="47" t="s">
        <v>1528</v>
      </c>
      <c r="J367" s="47" t="s">
        <v>916</v>
      </c>
    </row>
    <row r="368" customHeight="1" spans="8:10">
      <c r="H368" s="47" t="s">
        <v>1527</v>
      </c>
      <c r="I368" s="47" t="s">
        <v>1529</v>
      </c>
      <c r="J368" s="47" t="s">
        <v>916</v>
      </c>
    </row>
    <row r="369" customHeight="1" spans="8:10">
      <c r="H369" s="47" t="s">
        <v>1527</v>
      </c>
      <c r="I369" s="47" t="s">
        <v>1530</v>
      </c>
      <c r="J369" s="47" t="s">
        <v>916</v>
      </c>
    </row>
    <row r="370" customHeight="1" spans="8:10">
      <c r="H370" s="47" t="s">
        <v>1527</v>
      </c>
      <c r="I370" s="47" t="s">
        <v>1531</v>
      </c>
      <c r="J370" s="47" t="s">
        <v>916</v>
      </c>
    </row>
    <row r="371" customHeight="1" spans="8:10">
      <c r="H371" s="47" t="s">
        <v>1527</v>
      </c>
      <c r="I371" s="47" t="s">
        <v>1532</v>
      </c>
      <c r="J371" s="47" t="s">
        <v>916</v>
      </c>
    </row>
    <row r="372" customHeight="1" spans="8:10">
      <c r="H372" s="47" t="s">
        <v>1527</v>
      </c>
      <c r="I372" s="47" t="s">
        <v>1533</v>
      </c>
      <c r="J372" s="47" t="s">
        <v>916</v>
      </c>
    </row>
    <row r="373" customHeight="1" spans="8:10">
      <c r="H373" s="47" t="s">
        <v>1527</v>
      </c>
      <c r="I373" s="47" t="s">
        <v>1534</v>
      </c>
      <c r="J373" s="47" t="s">
        <v>916</v>
      </c>
    </row>
    <row r="374" customHeight="1" spans="8:10">
      <c r="H374" s="47" t="s">
        <v>1527</v>
      </c>
      <c r="I374" s="47" t="s">
        <v>1535</v>
      </c>
      <c r="J374" s="47" t="s">
        <v>916</v>
      </c>
    </row>
    <row r="375" customHeight="1" spans="8:10">
      <c r="H375" s="47" t="s">
        <v>1527</v>
      </c>
      <c r="I375" s="47" t="s">
        <v>1536</v>
      </c>
      <c r="J375" s="47" t="s">
        <v>916</v>
      </c>
    </row>
    <row r="376" customHeight="1" spans="8:10">
      <c r="H376" s="47" t="s">
        <v>1527</v>
      </c>
      <c r="I376" s="47" t="s">
        <v>1537</v>
      </c>
      <c r="J376" s="47" t="s">
        <v>916</v>
      </c>
    </row>
    <row r="377" customHeight="1" spans="8:10">
      <c r="H377" s="47" t="s">
        <v>1527</v>
      </c>
      <c r="I377" s="47" t="s">
        <v>1538</v>
      </c>
      <c r="J377" s="47" t="s">
        <v>916</v>
      </c>
    </row>
    <row r="378" customHeight="1" spans="8:10">
      <c r="H378" s="47" t="s">
        <v>1527</v>
      </c>
      <c r="I378" s="47" t="s">
        <v>1539</v>
      </c>
      <c r="J378" s="47" t="s">
        <v>916</v>
      </c>
    </row>
    <row r="379" customHeight="1" spans="8:10">
      <c r="H379" s="47" t="s">
        <v>1527</v>
      </c>
      <c r="I379" s="47" t="s">
        <v>1540</v>
      </c>
      <c r="J379" s="47" t="s">
        <v>916</v>
      </c>
    </row>
    <row r="380" customHeight="1" spans="8:10">
      <c r="H380" s="47" t="s">
        <v>1527</v>
      </c>
      <c r="I380" s="47" t="s">
        <v>1541</v>
      </c>
      <c r="J380" s="47" t="s">
        <v>916</v>
      </c>
    </row>
    <row r="381" customHeight="1" spans="8:10">
      <c r="H381" s="47" t="s">
        <v>1527</v>
      </c>
      <c r="I381" s="47" t="s">
        <v>1542</v>
      </c>
      <c r="J381" s="47" t="s">
        <v>916</v>
      </c>
    </row>
    <row r="382" customHeight="1" spans="8:10">
      <c r="H382" s="47" t="s">
        <v>1527</v>
      </c>
      <c r="I382" s="47" t="s">
        <v>1543</v>
      </c>
      <c r="J382" s="47" t="s">
        <v>916</v>
      </c>
    </row>
    <row r="383" customHeight="1" spans="8:10">
      <c r="H383" s="47" t="s">
        <v>1527</v>
      </c>
      <c r="I383" s="47" t="s">
        <v>1544</v>
      </c>
      <c r="J383" s="47" t="s">
        <v>916</v>
      </c>
    </row>
    <row r="384" customHeight="1" spans="8:10">
      <c r="H384" s="47" t="s">
        <v>1527</v>
      </c>
      <c r="I384" s="47" t="s">
        <v>1545</v>
      </c>
      <c r="J384" s="47" t="s">
        <v>916</v>
      </c>
    </row>
    <row r="385" customHeight="1" spans="8:10">
      <c r="H385" s="47" t="s">
        <v>1527</v>
      </c>
      <c r="I385" s="47" t="s">
        <v>1546</v>
      </c>
      <c r="J385" s="47" t="s">
        <v>916</v>
      </c>
    </row>
    <row r="386" customHeight="1" spans="8:10">
      <c r="H386" s="47" t="s">
        <v>1527</v>
      </c>
      <c r="I386" s="47" t="s">
        <v>1547</v>
      </c>
      <c r="J386" s="47" t="s">
        <v>916</v>
      </c>
    </row>
    <row r="387" customHeight="1" spans="8:10">
      <c r="H387" s="47" t="s">
        <v>1527</v>
      </c>
      <c r="I387" s="47" t="s">
        <v>1548</v>
      </c>
      <c r="J387" s="47" t="s">
        <v>916</v>
      </c>
    </row>
    <row r="388" customHeight="1" spans="8:10">
      <c r="H388" s="47" t="s">
        <v>1527</v>
      </c>
      <c r="I388" s="47" t="s">
        <v>1549</v>
      </c>
      <c r="J388" s="47" t="s">
        <v>916</v>
      </c>
    </row>
    <row r="389" customHeight="1" spans="8:10">
      <c r="H389" s="47" t="s">
        <v>1527</v>
      </c>
      <c r="I389" s="47" t="s">
        <v>1550</v>
      </c>
      <c r="J389" s="47" t="s">
        <v>916</v>
      </c>
    </row>
    <row r="390" customHeight="1" spans="8:10">
      <c r="H390" s="47" t="s">
        <v>1527</v>
      </c>
      <c r="I390" s="47" t="s">
        <v>1551</v>
      </c>
      <c r="J390" s="47" t="s">
        <v>916</v>
      </c>
    </row>
    <row r="391" customHeight="1" spans="8:10">
      <c r="H391" s="47" t="s">
        <v>1527</v>
      </c>
      <c r="I391" s="47" t="s">
        <v>1552</v>
      </c>
      <c r="J391" s="47" t="s">
        <v>916</v>
      </c>
    </row>
    <row r="392" customHeight="1" spans="8:10">
      <c r="H392" s="47" t="s">
        <v>1527</v>
      </c>
      <c r="I392" s="47" t="s">
        <v>1553</v>
      </c>
      <c r="J392" s="47" t="s">
        <v>916</v>
      </c>
    </row>
    <row r="393" customHeight="1" spans="8:10">
      <c r="H393" s="47" t="s">
        <v>1527</v>
      </c>
      <c r="I393" s="47" t="s">
        <v>1554</v>
      </c>
      <c r="J393" s="47" t="s">
        <v>916</v>
      </c>
    </row>
    <row r="394" customHeight="1" spans="8:10">
      <c r="H394" s="47" t="s">
        <v>1527</v>
      </c>
      <c r="I394" s="47" t="s">
        <v>1555</v>
      </c>
      <c r="J394" s="47" t="s">
        <v>916</v>
      </c>
    </row>
    <row r="395" customHeight="1" spans="8:10">
      <c r="H395" s="47" t="s">
        <v>1527</v>
      </c>
      <c r="I395" s="47" t="s">
        <v>1556</v>
      </c>
      <c r="J395" s="47" t="s">
        <v>916</v>
      </c>
    </row>
    <row r="396" customHeight="1" spans="8:10">
      <c r="H396" s="47" t="s">
        <v>1527</v>
      </c>
      <c r="I396" s="47" t="s">
        <v>1557</v>
      </c>
      <c r="J396" s="47" t="s">
        <v>916</v>
      </c>
    </row>
    <row r="397" customHeight="1" spans="8:10">
      <c r="H397" s="47" t="s">
        <v>1527</v>
      </c>
      <c r="I397" s="47" t="s">
        <v>1558</v>
      </c>
      <c r="J397" s="47" t="s">
        <v>916</v>
      </c>
    </row>
    <row r="398" customHeight="1" spans="8:10">
      <c r="H398" s="47" t="s">
        <v>1527</v>
      </c>
      <c r="I398" s="47" t="s">
        <v>1559</v>
      </c>
      <c r="J398" s="47" t="s">
        <v>916</v>
      </c>
    </row>
    <row r="399" customHeight="1" spans="8:10">
      <c r="H399" s="47" t="s">
        <v>1527</v>
      </c>
      <c r="I399" s="47" t="s">
        <v>1560</v>
      </c>
      <c r="J399" s="47" t="s">
        <v>916</v>
      </c>
    </row>
    <row r="400" customHeight="1" spans="8:10">
      <c r="H400" s="47" t="s">
        <v>1527</v>
      </c>
      <c r="I400" s="47" t="s">
        <v>1562</v>
      </c>
      <c r="J400" s="47" t="s">
        <v>916</v>
      </c>
    </row>
    <row r="401" customHeight="1" spans="8:10">
      <c r="H401" s="47" t="s">
        <v>1527</v>
      </c>
      <c r="I401" s="47" t="s">
        <v>1563</v>
      </c>
      <c r="J401" s="47" t="s">
        <v>916</v>
      </c>
    </row>
    <row r="402" customHeight="1" spans="8:10">
      <c r="H402" s="47" t="s">
        <v>1527</v>
      </c>
      <c r="I402" s="47" t="s">
        <v>1564</v>
      </c>
      <c r="J402" s="47" t="s">
        <v>916</v>
      </c>
    </row>
    <row r="403" customHeight="1" spans="8:10">
      <c r="H403" s="47" t="s">
        <v>1527</v>
      </c>
      <c r="I403" s="47" t="s">
        <v>1565</v>
      </c>
      <c r="J403" s="47" t="s">
        <v>916</v>
      </c>
    </row>
    <row r="404" customHeight="1" spans="8:10">
      <c r="H404" s="47" t="s">
        <v>1527</v>
      </c>
      <c r="I404" s="47" t="s">
        <v>1567</v>
      </c>
      <c r="J404" s="47" t="s">
        <v>1020</v>
      </c>
    </row>
    <row r="405" customHeight="1" spans="8:10">
      <c r="H405" s="47" t="s">
        <v>1527</v>
      </c>
      <c r="I405" s="47" t="s">
        <v>1568</v>
      </c>
      <c r="J405" s="47" t="s">
        <v>1020</v>
      </c>
    </row>
    <row r="406" customHeight="1" spans="8:10">
      <c r="H406" s="47" t="s">
        <v>1527</v>
      </c>
      <c r="I406" s="47" t="s">
        <v>1566</v>
      </c>
      <c r="J406" s="47" t="s">
        <v>1020</v>
      </c>
    </row>
    <row r="407" customHeight="1" spans="8:10">
      <c r="H407" s="47" t="s">
        <v>1527</v>
      </c>
      <c r="I407" s="47" t="s">
        <v>1569</v>
      </c>
      <c r="J407" s="47" t="s">
        <v>1020</v>
      </c>
    </row>
    <row r="408" customHeight="1" spans="8:10">
      <c r="H408" s="47" t="s">
        <v>1527</v>
      </c>
      <c r="I408" s="47" t="s">
        <v>1570</v>
      </c>
      <c r="J408" s="47" t="s">
        <v>1020</v>
      </c>
    </row>
    <row r="409" customHeight="1" spans="8:10">
      <c r="H409" s="47" t="s">
        <v>1527</v>
      </c>
      <c r="I409" s="47" t="s">
        <v>1571</v>
      </c>
      <c r="J409" s="47" t="s">
        <v>1020</v>
      </c>
    </row>
    <row r="410" customHeight="1" spans="8:10">
      <c r="H410" s="47" t="s">
        <v>1527</v>
      </c>
      <c r="I410" s="47" t="s">
        <v>1567</v>
      </c>
      <c r="J410" s="47" t="s">
        <v>1020</v>
      </c>
    </row>
    <row r="411" customHeight="1" spans="8:10">
      <c r="H411" s="47" t="s">
        <v>1527</v>
      </c>
      <c r="I411" s="47" t="s">
        <v>1568</v>
      </c>
      <c r="J411" s="47" t="s">
        <v>1020</v>
      </c>
    </row>
    <row r="412" customHeight="1" spans="8:10">
      <c r="H412" s="47" t="s">
        <v>1527</v>
      </c>
      <c r="I412" s="47" t="s">
        <v>1566</v>
      </c>
      <c r="J412" s="47" t="s">
        <v>1020</v>
      </c>
    </row>
    <row r="413" customHeight="1" spans="8:10">
      <c r="H413" s="47" t="s">
        <v>1527</v>
      </c>
      <c r="I413" s="47" t="s">
        <v>1569</v>
      </c>
      <c r="J413" s="47" t="s">
        <v>1020</v>
      </c>
    </row>
    <row r="414" customHeight="1" spans="8:10">
      <c r="H414" s="47" t="s">
        <v>1527</v>
      </c>
      <c r="I414" s="47" t="s">
        <v>1570</v>
      </c>
      <c r="J414" s="47" t="s">
        <v>1020</v>
      </c>
    </row>
    <row r="415" customHeight="1" spans="8:10">
      <c r="H415" s="47" t="s">
        <v>1527</v>
      </c>
      <c r="I415" s="47" t="s">
        <v>1571</v>
      </c>
      <c r="J415" s="47" t="s">
        <v>1020</v>
      </c>
    </row>
    <row r="416" customHeight="1" spans="8:10">
      <c r="H416" s="47" t="s">
        <v>1527</v>
      </c>
      <c r="I416" s="47" t="s">
        <v>1572</v>
      </c>
      <c r="J416" s="47" t="s">
        <v>1020</v>
      </c>
    </row>
    <row r="417" customHeight="1" spans="8:10">
      <c r="H417" s="47" t="s">
        <v>1527</v>
      </c>
      <c r="I417" s="47" t="s">
        <v>1573</v>
      </c>
      <c r="J417" s="47" t="s">
        <v>1020</v>
      </c>
    </row>
    <row r="418" customHeight="1" spans="8:10">
      <c r="H418" s="47" t="s">
        <v>1527</v>
      </c>
      <c r="I418" s="47" t="s">
        <v>1574</v>
      </c>
      <c r="J418" s="47" t="s">
        <v>1020</v>
      </c>
    </row>
    <row r="419" customHeight="1" spans="8:10">
      <c r="H419" s="47" t="s">
        <v>1527</v>
      </c>
      <c r="I419" s="47" t="s">
        <v>1575</v>
      </c>
      <c r="J419" s="47" t="s">
        <v>1020</v>
      </c>
    </row>
    <row r="420" customHeight="1" spans="8:10">
      <c r="H420" s="47" t="s">
        <v>1527</v>
      </c>
      <c r="I420" s="47" t="s">
        <v>1576</v>
      </c>
      <c r="J420" s="47" t="s">
        <v>1020</v>
      </c>
    </row>
    <row r="421" customHeight="1" spans="8:10">
      <c r="H421" s="47" t="s">
        <v>1527</v>
      </c>
      <c r="I421" s="47" t="s">
        <v>1577</v>
      </c>
      <c r="J421" s="47" t="s">
        <v>1020</v>
      </c>
    </row>
    <row r="422" customHeight="1" spans="8:10">
      <c r="H422" s="47" t="s">
        <v>1527</v>
      </c>
      <c r="I422" s="47" t="s">
        <v>1578</v>
      </c>
      <c r="J422" s="47" t="s">
        <v>1020</v>
      </c>
    </row>
    <row r="423" customHeight="1" spans="8:10">
      <c r="H423" s="47" t="s">
        <v>1527</v>
      </c>
      <c r="I423" s="47" t="s">
        <v>1579</v>
      </c>
      <c r="J423" s="47" t="s">
        <v>1020</v>
      </c>
    </row>
    <row r="424" customHeight="1" spans="8:10">
      <c r="H424" s="47" t="s">
        <v>1527</v>
      </c>
      <c r="I424" s="47" t="s">
        <v>1580</v>
      </c>
      <c r="J424" s="47" t="s">
        <v>1020</v>
      </c>
    </row>
    <row r="425" customHeight="1" spans="8:10">
      <c r="H425" s="47" t="s">
        <v>1527</v>
      </c>
      <c r="I425" s="47" t="s">
        <v>1567</v>
      </c>
      <c r="J425" s="47" t="s">
        <v>1020</v>
      </c>
    </row>
    <row r="426" customHeight="1" spans="8:10">
      <c r="H426" s="47" t="s">
        <v>1527</v>
      </c>
      <c r="I426" s="47" t="s">
        <v>1568</v>
      </c>
      <c r="J426" s="47" t="s">
        <v>1020</v>
      </c>
    </row>
    <row r="427" customHeight="1" spans="8:10">
      <c r="H427" s="47" t="s">
        <v>1527</v>
      </c>
      <c r="I427" s="47" t="s">
        <v>1569</v>
      </c>
      <c r="J427" s="47" t="s">
        <v>1020</v>
      </c>
    </row>
    <row r="428" customHeight="1" spans="8:10">
      <c r="H428" s="47" t="s">
        <v>1527</v>
      </c>
      <c r="I428" s="47" t="s">
        <v>1570</v>
      </c>
      <c r="J428" s="47" t="s">
        <v>1020</v>
      </c>
    </row>
    <row r="429" customHeight="1" spans="8:10">
      <c r="H429" s="47" t="s">
        <v>1527</v>
      </c>
      <c r="I429" s="47" t="s">
        <v>1571</v>
      </c>
      <c r="J429" s="47" t="s">
        <v>1020</v>
      </c>
    </row>
    <row r="430" customHeight="1" spans="8:10">
      <c r="H430" s="47" t="s">
        <v>1527</v>
      </c>
      <c r="I430" s="47" t="s">
        <v>1567</v>
      </c>
      <c r="J430" s="47" t="s">
        <v>1020</v>
      </c>
    </row>
    <row r="431" customHeight="1" spans="8:10">
      <c r="H431" s="47" t="s">
        <v>1527</v>
      </c>
      <c r="I431" s="47" t="s">
        <v>1568</v>
      </c>
      <c r="J431" s="47" t="s">
        <v>1020</v>
      </c>
    </row>
    <row r="432" customHeight="1" spans="8:10">
      <c r="H432" s="47" t="s">
        <v>1527</v>
      </c>
      <c r="I432" s="47" t="s">
        <v>1566</v>
      </c>
      <c r="J432" s="47" t="s">
        <v>1020</v>
      </c>
    </row>
    <row r="433" customHeight="1" spans="8:10">
      <c r="H433" s="47" t="s">
        <v>1527</v>
      </c>
      <c r="I433" s="47" t="s">
        <v>1569</v>
      </c>
      <c r="J433" s="47" t="s">
        <v>1020</v>
      </c>
    </row>
    <row r="434" customHeight="1" spans="8:10">
      <c r="H434" s="47" t="s">
        <v>1527</v>
      </c>
      <c r="I434" s="47" t="s">
        <v>1570</v>
      </c>
      <c r="J434" s="47" t="s">
        <v>1020</v>
      </c>
    </row>
    <row r="435" customHeight="1" spans="8:10">
      <c r="H435" s="47" t="s">
        <v>1527</v>
      </c>
      <c r="I435" s="47" t="s">
        <v>1571</v>
      </c>
      <c r="J435" s="47" t="s">
        <v>1020</v>
      </c>
    </row>
    <row r="436" customHeight="1" spans="8:10">
      <c r="H436" s="47" t="s">
        <v>1527</v>
      </c>
      <c r="I436" s="47" t="s">
        <v>1572</v>
      </c>
      <c r="J436" s="47" t="s">
        <v>1020</v>
      </c>
    </row>
    <row r="437" customHeight="1" spans="8:10">
      <c r="H437" s="47" t="s">
        <v>1527</v>
      </c>
      <c r="I437" s="47" t="s">
        <v>1573</v>
      </c>
      <c r="J437" s="47" t="s">
        <v>1020</v>
      </c>
    </row>
    <row r="438" customHeight="1" spans="8:10">
      <c r="H438" s="47" t="s">
        <v>1527</v>
      </c>
      <c r="I438" s="47" t="s">
        <v>1574</v>
      </c>
      <c r="J438" s="47" t="s">
        <v>1020</v>
      </c>
    </row>
    <row r="439" customHeight="1" spans="8:10">
      <c r="H439" s="47" t="s">
        <v>1527</v>
      </c>
      <c r="I439" s="47" t="s">
        <v>1561</v>
      </c>
      <c r="J439" s="47" t="s">
        <v>1020</v>
      </c>
    </row>
    <row r="440" customHeight="1" spans="8:10">
      <c r="H440" s="47" t="s">
        <v>1527</v>
      </c>
      <c r="I440" s="47" t="s">
        <v>1575</v>
      </c>
      <c r="J440" s="47" t="s">
        <v>1020</v>
      </c>
    </row>
    <row r="441" customHeight="1" spans="8:10">
      <c r="H441" s="47" t="s">
        <v>1527</v>
      </c>
      <c r="I441" s="47" t="s">
        <v>1576</v>
      </c>
      <c r="J441" s="47" t="s">
        <v>1020</v>
      </c>
    </row>
    <row r="442" customHeight="1" spans="8:10">
      <c r="H442" s="47" t="s">
        <v>1527</v>
      </c>
      <c r="I442" s="47" t="s">
        <v>1577</v>
      </c>
      <c r="J442" s="47" t="s">
        <v>1020</v>
      </c>
    </row>
    <row r="443" customHeight="1" spans="8:10">
      <c r="H443" s="47" t="s">
        <v>1527</v>
      </c>
      <c r="I443" s="47" t="s">
        <v>1578</v>
      </c>
      <c r="J443" s="47" t="s">
        <v>1020</v>
      </c>
    </row>
    <row r="444" customHeight="1" spans="8:10">
      <c r="H444" s="47" t="s">
        <v>1527</v>
      </c>
      <c r="I444" s="47" t="s">
        <v>1579</v>
      </c>
      <c r="J444" s="47" t="s">
        <v>1020</v>
      </c>
    </row>
    <row r="445" customHeight="1" spans="8:10">
      <c r="H445" s="47" t="s">
        <v>1527</v>
      </c>
      <c r="I445" s="47" t="s">
        <v>1580</v>
      </c>
      <c r="J445" s="47" t="s">
        <v>1020</v>
      </c>
    </row>
    <row r="446" customHeight="1" spans="8:10">
      <c r="H446" s="47" t="s">
        <v>1581</v>
      </c>
      <c r="I446" s="47" t="s">
        <v>1582</v>
      </c>
      <c r="J446" s="47" t="s">
        <v>916</v>
      </c>
    </row>
    <row r="447" customHeight="1" spans="8:10">
      <c r="H447" s="47" t="s">
        <v>1581</v>
      </c>
      <c r="I447" s="47" t="s">
        <v>1583</v>
      </c>
      <c r="J447" s="47" t="s">
        <v>916</v>
      </c>
    </row>
    <row r="448" customHeight="1" spans="8:10">
      <c r="H448" s="47" t="s">
        <v>1581</v>
      </c>
      <c r="I448" s="47" t="s">
        <v>1584</v>
      </c>
      <c r="J448" s="47" t="s">
        <v>916</v>
      </c>
    </row>
    <row r="449" customHeight="1" spans="8:10">
      <c r="H449" s="47" t="s">
        <v>1581</v>
      </c>
      <c r="I449" s="47" t="s">
        <v>1585</v>
      </c>
      <c r="J449" s="47" t="s">
        <v>916</v>
      </c>
    </row>
    <row r="450" customHeight="1" spans="8:10">
      <c r="H450" s="47" t="s">
        <v>1581</v>
      </c>
      <c r="I450" s="47" t="s">
        <v>1586</v>
      </c>
      <c r="J450" s="47" t="s">
        <v>916</v>
      </c>
    </row>
    <row r="451" customHeight="1" spans="8:10">
      <c r="H451" s="47" t="s">
        <v>1581</v>
      </c>
      <c r="I451" s="47" t="s">
        <v>1587</v>
      </c>
      <c r="J451" s="47" t="s">
        <v>916</v>
      </c>
    </row>
    <row r="452" customHeight="1" spans="8:10">
      <c r="H452" s="47" t="s">
        <v>1581</v>
      </c>
      <c r="I452" s="47" t="s">
        <v>1588</v>
      </c>
      <c r="J452" s="47" t="s">
        <v>916</v>
      </c>
    </row>
    <row r="453" customHeight="1" spans="8:10">
      <c r="H453" s="47" t="s">
        <v>1581</v>
      </c>
      <c r="I453" s="47" t="s">
        <v>1589</v>
      </c>
      <c r="J453" s="47" t="s">
        <v>916</v>
      </c>
    </row>
    <row r="454" customHeight="1" spans="8:10">
      <c r="H454" s="47" t="s">
        <v>1581</v>
      </c>
      <c r="I454" s="47" t="s">
        <v>1354</v>
      </c>
      <c r="J454" s="47" t="s">
        <v>916</v>
      </c>
    </row>
    <row r="455" customHeight="1" spans="8:10">
      <c r="H455" s="47" t="s">
        <v>1581</v>
      </c>
      <c r="I455" s="47" t="s">
        <v>1590</v>
      </c>
      <c r="J455" s="47" t="s">
        <v>1020</v>
      </c>
    </row>
    <row r="456" customHeight="1" spans="8:10">
      <c r="H456" s="47" t="s">
        <v>1581</v>
      </c>
      <c r="I456" s="47" t="s">
        <v>1591</v>
      </c>
      <c r="J456" s="47" t="s">
        <v>1020</v>
      </c>
    </row>
    <row r="457" customHeight="1" spans="8:10">
      <c r="H457" s="47" t="s">
        <v>1581</v>
      </c>
      <c r="I457" s="47" t="s">
        <v>1592</v>
      </c>
      <c r="J457" s="47" t="s">
        <v>1020</v>
      </c>
    </row>
    <row r="458" customHeight="1" spans="8:10">
      <c r="H458" s="47" t="s">
        <v>1581</v>
      </c>
      <c r="I458" s="47" t="s">
        <v>1593</v>
      </c>
      <c r="J458" s="47" t="s">
        <v>1020</v>
      </c>
    </row>
    <row r="459" customHeight="1" spans="8:10">
      <c r="H459" s="47" t="s">
        <v>1581</v>
      </c>
      <c r="I459" s="47" t="s">
        <v>1594</v>
      </c>
      <c r="J459" s="47" t="s">
        <v>1020</v>
      </c>
    </row>
    <row r="460" customHeight="1" spans="8:10">
      <c r="H460" s="47" t="s">
        <v>1581</v>
      </c>
      <c r="I460" s="47" t="s">
        <v>1595</v>
      </c>
      <c r="J460" s="47" t="s">
        <v>1020</v>
      </c>
    </row>
    <row r="461" customHeight="1" spans="8:10">
      <c r="H461" s="47" t="s">
        <v>1581</v>
      </c>
      <c r="I461" s="47" t="s">
        <v>1596</v>
      </c>
      <c r="J461" s="47" t="s">
        <v>1020</v>
      </c>
    </row>
  </sheetData>
  <mergeCells count="1">
    <mergeCell ref="L96:L97"/>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AF74"/>
  <sheetViews>
    <sheetView showGridLines="0" workbookViewId="0">
      <pane xSplit="8" ySplit="4" topLeftCell="I5" activePane="bottomRight" state="frozen"/>
      <selection/>
      <selection pane="topRight"/>
      <selection pane="bottomLeft"/>
      <selection pane="bottomRight" activeCell="A1" sqref="A1"/>
    </sheetView>
  </sheetViews>
  <sheetFormatPr defaultColWidth="10" defaultRowHeight="16.5" customHeight="1"/>
  <cols>
    <col min="1" max="1" width="2.87692307692308" customWidth="1"/>
    <col min="2" max="2" width="7.37692307692308"/>
    <col min="3" max="3" width="13.5384615384615" customWidth="1"/>
    <col min="4" max="4" width="12.0615384615385" customWidth="1"/>
    <col min="5" max="5" width="16.1230769230769" style="32" customWidth="1"/>
    <col min="6" max="7" width="12.4769230769231" style="1" customWidth="1"/>
    <col min="8" max="8" width="35.0769230769231" customWidth="1"/>
    <col min="9" max="9" width="7.62307692307692"/>
    <col min="10" max="10" width="6" customWidth="1"/>
    <col min="11" max="11" width="24.1384615384615" customWidth="1"/>
    <col min="12" max="12" width="26.7307692307692" style="1" customWidth="1"/>
    <col min="13" max="13" width="8.25384615384615" style="1" customWidth="1"/>
    <col min="14" max="14" width="10.5" style="1" customWidth="1"/>
    <col min="15" max="15" width="11" style="1" customWidth="1"/>
    <col min="16" max="16" width="10.2461538461538" style="1" customWidth="1"/>
    <col min="17" max="17" width="8.62307692307692" style="1" customWidth="1"/>
    <col min="18" max="18" width="19" style="1"/>
    <col min="19" max="19" width="27.2461538461538" style="1" customWidth="1"/>
    <col min="20" max="24" width="9.11538461538461" style="1" customWidth="1"/>
    <col min="25" max="25" width="10.8769230769231"/>
    <col min="26" max="30" width="6.99230769230769"/>
    <col min="31" max="31" width="27.2461538461538" customWidth="1"/>
  </cols>
  <sheetData>
    <row r="1" customHeight="1" spans="2:32">
      <c r="B1" s="2"/>
      <c r="C1" s="1"/>
      <c r="D1" s="1"/>
      <c r="H1" s="32"/>
      <c r="I1" s="1"/>
      <c r="J1" s="1"/>
    </row>
    <row r="2" customHeight="1" spans="2:32">
      <c r="B2" s="3" t="s">
        <v>9</v>
      </c>
      <c r="C2" s="33" t="s">
        <v>0</v>
      </c>
    </row>
    <row r="3" s="1" customFormat="1" ht="27.75" customHeight="1" spans="2:32">
      <c r="B3" s="34" t="s">
        <v>14</v>
      </c>
      <c r="C3" s="34" t="s">
        <v>17</v>
      </c>
      <c r="D3" s="34" t="s">
        <v>18</v>
      </c>
      <c r="E3" s="34" t="s">
        <v>1597</v>
      </c>
      <c r="F3" s="35" t="s">
        <v>1598</v>
      </c>
      <c r="G3" s="36"/>
      <c r="H3" s="34" t="s">
        <v>1599</v>
      </c>
      <c r="I3" s="34" t="s">
        <v>21</v>
      </c>
      <c r="J3" s="34" t="s">
        <v>22</v>
      </c>
      <c r="K3" s="37" t="s">
        <v>1600</v>
      </c>
      <c r="L3" s="37" t="s">
        <v>1601</v>
      </c>
      <c r="M3" s="38" t="s">
        <v>1602</v>
      </c>
      <c r="N3" s="38"/>
      <c r="O3" s="38"/>
      <c r="P3" s="38"/>
      <c r="Q3" s="38"/>
      <c r="R3" s="38" t="s">
        <v>1603</v>
      </c>
      <c r="S3" s="39" t="s">
        <v>1604</v>
      </c>
      <c r="T3" s="40" t="s">
        <v>1605</v>
      </c>
      <c r="U3" s="40"/>
      <c r="V3" s="40"/>
      <c r="W3" s="40"/>
      <c r="X3" s="40"/>
      <c r="Y3" s="34"/>
      <c r="Z3" s="35" t="s">
        <v>1606</v>
      </c>
      <c r="AA3" s="41"/>
      <c r="AB3" s="41"/>
      <c r="AC3" s="41"/>
      <c r="AD3" s="42"/>
      <c r="AE3" s="34" t="s">
        <v>24</v>
      </c>
    </row>
    <row r="4" s="1" customFormat="1" customHeight="1" spans="2:32">
      <c r="B4" s="34"/>
      <c r="C4" s="34"/>
      <c r="D4" s="34"/>
      <c r="E4" s="34"/>
      <c r="F4" s="34" t="s">
        <v>1607</v>
      </c>
      <c r="G4" s="34" t="s">
        <v>1608</v>
      </c>
      <c r="H4" s="34"/>
      <c r="I4" s="34"/>
      <c r="J4" s="34"/>
      <c r="K4" s="43"/>
      <c r="L4" s="44"/>
      <c r="M4" s="38" t="s">
        <v>25</v>
      </c>
      <c r="N4" s="38" t="s">
        <v>26</v>
      </c>
      <c r="O4" s="38" t="s">
        <v>27</v>
      </c>
      <c r="P4" s="38" t="s">
        <v>28</v>
      </c>
      <c r="Q4" s="38" t="s">
        <v>29</v>
      </c>
      <c r="R4" s="38"/>
      <c r="S4" s="38"/>
      <c r="T4" s="40" t="s">
        <v>25</v>
      </c>
      <c r="U4" s="40" t="s">
        <v>26</v>
      </c>
      <c r="V4" s="40" t="s">
        <v>27</v>
      </c>
      <c r="W4" s="40" t="s">
        <v>28</v>
      </c>
      <c r="X4" s="40" t="s">
        <v>29</v>
      </c>
      <c r="Y4" s="34" t="s">
        <v>1609</v>
      </c>
      <c r="Z4" s="40" t="s">
        <v>25</v>
      </c>
      <c r="AA4" s="40" t="s">
        <v>26</v>
      </c>
      <c r="AB4" s="40" t="s">
        <v>27</v>
      </c>
      <c r="AC4" s="40" t="s">
        <v>28</v>
      </c>
      <c r="AD4" s="40" t="s">
        <v>29</v>
      </c>
      <c r="AE4" s="45"/>
    </row>
    <row r="5" ht="18" customHeight="1" spans="2:32">
      <c r="B5" s="46">
        <f t="shared" ref="B5:B17" si="0">ROW()-4</f>
        <v>1</v>
      </c>
      <c r="C5" s="46" t="s">
        <v>41</v>
      </c>
      <c r="D5" s="46" t="s">
        <v>1610</v>
      </c>
      <c r="E5" s="47" t="s">
        <v>79</v>
      </c>
      <c r="F5" s="46" t="s">
        <v>1611</v>
      </c>
      <c r="G5" s="46" t="s">
        <v>1612</v>
      </c>
      <c r="H5" s="47" t="s">
        <v>1613</v>
      </c>
      <c r="I5" s="46" t="s">
        <v>58</v>
      </c>
      <c r="J5" s="46">
        <v>1</v>
      </c>
      <c r="K5" s="15">
        <v>4</v>
      </c>
      <c r="L5" s="46" t="s">
        <v>1614</v>
      </c>
      <c r="M5" s="48">
        <v>1.8</v>
      </c>
      <c r="N5" s="48">
        <v>2.7</v>
      </c>
      <c r="O5" s="48">
        <v>2.34</v>
      </c>
      <c r="P5" s="48">
        <v>2.43</v>
      </c>
      <c r="Q5" s="46">
        <v>2.34</v>
      </c>
      <c r="R5" s="5" t="s">
        <v>1614</v>
      </c>
      <c r="S5" s="46">
        <v>1</v>
      </c>
      <c r="T5" s="15">
        <f t="shared" ref="T5:T45" si="1">SUM($K5:$L5,$R5:$S5)+M5</f>
        <v>6.8</v>
      </c>
      <c r="U5" s="15">
        <f t="shared" ref="U5:U25" si="2">SUM($K5:$L5,$R5:$S5)+N5</f>
        <v>7.7</v>
      </c>
      <c r="V5" s="15">
        <f t="shared" ref="V5:V25" si="3">SUM($K5:$L5,$R5:$S5)+O5</f>
        <v>7.34</v>
      </c>
      <c r="W5" s="15">
        <f>SUM($K5:$L5,$R5:$S5)+P5</f>
        <v>7.43</v>
      </c>
      <c r="X5" s="15">
        <f>SUM($K5:$L5,$R5:$S5)+Q5</f>
        <v>7.34</v>
      </c>
      <c r="Y5" s="5">
        <v>81.25</v>
      </c>
      <c r="Z5" s="49">
        <f t="shared" ref="Z5:Z45" si="4">T5*$Y$5</f>
        <v>552.5</v>
      </c>
      <c r="AA5" s="49">
        <f t="shared" ref="AA5:AA45" si="5">U5*$Y$5</f>
        <v>625.625</v>
      </c>
      <c r="AB5" s="49">
        <f t="shared" ref="AB5:AB45" si="6">V5*$Y$5</f>
        <v>596.375</v>
      </c>
      <c r="AC5" s="49">
        <f t="shared" ref="AC5:AC45" si="7">W5*$Y$5</f>
        <v>603.6875</v>
      </c>
      <c r="AD5" s="49">
        <f t="shared" ref="AD5:AD45" si="8">X5*$Y$5</f>
        <v>596.375</v>
      </c>
      <c r="AE5" s="5"/>
    </row>
    <row r="6" ht="18" customHeight="1" spans="2:32">
      <c r="B6" s="46">
        <f t="shared" si="0"/>
        <v>2</v>
      </c>
      <c r="C6" s="46" t="s">
        <v>41</v>
      </c>
      <c r="D6" s="46" t="s">
        <v>1615</v>
      </c>
      <c r="E6" s="47" t="s">
        <v>79</v>
      </c>
      <c r="F6" s="46" t="s">
        <v>1611</v>
      </c>
      <c r="G6" s="46" t="s">
        <v>1612</v>
      </c>
      <c r="H6" s="47" t="s">
        <v>1616</v>
      </c>
      <c r="I6" s="46" t="s">
        <v>58</v>
      </c>
      <c r="J6" s="46">
        <v>1</v>
      </c>
      <c r="K6" s="15">
        <v>4</v>
      </c>
      <c r="L6" s="46" t="s">
        <v>1614</v>
      </c>
      <c r="M6" s="48">
        <v>2.3</v>
      </c>
      <c r="N6" s="48">
        <v>3.45</v>
      </c>
      <c r="O6" s="48">
        <v>2.99</v>
      </c>
      <c r="P6" s="48">
        <v>3.105</v>
      </c>
      <c r="Q6" s="46">
        <v>2.99</v>
      </c>
      <c r="R6" s="5" t="s">
        <v>1614</v>
      </c>
      <c r="S6" s="46">
        <v>1</v>
      </c>
      <c r="T6" s="15">
        <f t="shared" si="1"/>
        <v>7.3</v>
      </c>
      <c r="U6" s="15">
        <f t="shared" si="2"/>
        <v>8.45</v>
      </c>
      <c r="V6" s="15">
        <f t="shared" si="3"/>
        <v>7.99</v>
      </c>
      <c r="W6" s="15">
        <f>SUM($K6:$L6,$R6:$S6)+P6</f>
        <v>8.105</v>
      </c>
      <c r="X6" s="15">
        <f>SUM($K6:$L6,$R6:$S6)+Q6</f>
        <v>7.99</v>
      </c>
      <c r="Y6" s="5">
        <v>81.25</v>
      </c>
      <c r="Z6" s="49">
        <f t="shared" si="4"/>
        <v>593.125</v>
      </c>
      <c r="AA6" s="49">
        <f t="shared" si="5"/>
        <v>686.5625</v>
      </c>
      <c r="AB6" s="49">
        <f t="shared" si="6"/>
        <v>649.1875</v>
      </c>
      <c r="AC6" s="49">
        <f t="shared" si="7"/>
        <v>658.53125</v>
      </c>
      <c r="AD6" s="49">
        <f t="shared" si="8"/>
        <v>649.1875</v>
      </c>
      <c r="AE6" s="5"/>
    </row>
    <row r="7" ht="18" customHeight="1" spans="2:32">
      <c r="B7" s="46">
        <f t="shared" si="0"/>
        <v>3</v>
      </c>
      <c r="C7" s="46" t="s">
        <v>41</v>
      </c>
      <c r="D7" s="46" t="s">
        <v>1617</v>
      </c>
      <c r="E7" s="47" t="s">
        <v>79</v>
      </c>
      <c r="F7" s="46" t="s">
        <v>1611</v>
      </c>
      <c r="G7" s="46" t="s">
        <v>1612</v>
      </c>
      <c r="H7" s="47" t="s">
        <v>1618</v>
      </c>
      <c r="I7" s="46" t="s">
        <v>58</v>
      </c>
      <c r="J7" s="46">
        <v>1</v>
      </c>
      <c r="K7" s="15">
        <v>4</v>
      </c>
      <c r="L7" s="46" t="s">
        <v>1614</v>
      </c>
      <c r="M7" s="48">
        <v>2.5</v>
      </c>
      <c r="N7" s="48">
        <v>3.25</v>
      </c>
      <c r="O7" s="48">
        <v>3.25</v>
      </c>
      <c r="P7" s="48">
        <v>3.375</v>
      </c>
      <c r="Q7" s="46">
        <v>3.75</v>
      </c>
      <c r="R7" s="5" t="s">
        <v>1614</v>
      </c>
      <c r="S7" s="46">
        <v>1</v>
      </c>
      <c r="T7" s="15">
        <f t="shared" si="1"/>
        <v>7.5</v>
      </c>
      <c r="U7" s="15">
        <f t="shared" si="2"/>
        <v>8.25</v>
      </c>
      <c r="V7" s="15">
        <f t="shared" si="3"/>
        <v>8.25</v>
      </c>
      <c r="W7" s="15">
        <f>SUM($K7:$L7,$R7:$S7)+P7</f>
        <v>8.375</v>
      </c>
      <c r="X7" s="15">
        <f>SUM($K7:$L7,$R7:$S7)+Q7</f>
        <v>8.75</v>
      </c>
      <c r="Y7" s="5">
        <v>81.25</v>
      </c>
      <c r="Z7" s="49">
        <f t="shared" si="4"/>
        <v>609.375</v>
      </c>
      <c r="AA7" s="49">
        <f t="shared" si="5"/>
        <v>670.3125</v>
      </c>
      <c r="AB7" s="49">
        <f t="shared" si="6"/>
        <v>670.3125</v>
      </c>
      <c r="AC7" s="49">
        <f t="shared" si="7"/>
        <v>680.46875</v>
      </c>
      <c r="AD7" s="49">
        <f t="shared" si="8"/>
        <v>710.9375</v>
      </c>
      <c r="AE7" s="5" t="s">
        <v>1619</v>
      </c>
    </row>
    <row r="8" customHeight="1" spans="2:32">
      <c r="B8" s="46">
        <f t="shared" si="0"/>
        <v>4</v>
      </c>
      <c r="C8" s="46" t="s">
        <v>54</v>
      </c>
      <c r="D8" s="46" t="s">
        <v>55</v>
      </c>
      <c r="E8" s="47" t="s">
        <v>1620</v>
      </c>
      <c r="F8" s="46" t="s">
        <v>53</v>
      </c>
      <c r="G8" s="46" t="s">
        <v>53</v>
      </c>
      <c r="H8" s="47" t="s">
        <v>57</v>
      </c>
      <c r="I8" s="46" t="s">
        <v>58</v>
      </c>
      <c r="J8" s="46">
        <v>1</v>
      </c>
      <c r="K8" s="15">
        <v>4</v>
      </c>
      <c r="L8" s="46" t="s">
        <v>1621</v>
      </c>
      <c r="M8" s="48">
        <v>0.86</v>
      </c>
      <c r="N8" s="48">
        <v>1.29</v>
      </c>
      <c r="O8" s="48">
        <v>1.118</v>
      </c>
      <c r="P8" s="48">
        <v>1.161</v>
      </c>
      <c r="Q8" s="50">
        <v>1.118</v>
      </c>
      <c r="R8" s="50" t="s">
        <v>1622</v>
      </c>
      <c r="S8" s="50">
        <v>1</v>
      </c>
      <c r="T8" s="51">
        <f t="shared" si="1"/>
        <v>5.86</v>
      </c>
      <c r="U8" s="51">
        <f t="shared" si="2"/>
        <v>6.29</v>
      </c>
      <c r="V8" s="51">
        <f t="shared" si="3"/>
        <v>6.118</v>
      </c>
      <c r="W8" s="15">
        <f>SUM($K8:$L8,$R8:$S8)+P8</f>
        <v>6.161</v>
      </c>
      <c r="X8" s="15">
        <f>SUM($K8:$L8,$R8:$S8)+Q8</f>
        <v>6.118</v>
      </c>
      <c r="Y8" s="5">
        <v>81.25</v>
      </c>
      <c r="Z8" s="49">
        <f t="shared" si="4"/>
        <v>476.125</v>
      </c>
      <c r="AA8" s="49">
        <f t="shared" si="5"/>
        <v>511.0625</v>
      </c>
      <c r="AB8" s="49">
        <f t="shared" si="6"/>
        <v>497.0875</v>
      </c>
      <c r="AC8" s="49">
        <f t="shared" si="7"/>
        <v>500.58125</v>
      </c>
      <c r="AD8" s="49">
        <f t="shared" si="8"/>
        <v>497.0875</v>
      </c>
      <c r="AE8" s="52" t="s">
        <v>1623</v>
      </c>
    </row>
    <row r="9" customHeight="1" spans="2:32">
      <c r="B9" s="46">
        <f t="shared" si="0"/>
        <v>5</v>
      </c>
      <c r="C9" s="46" t="s">
        <v>54</v>
      </c>
      <c r="D9" s="46" t="s">
        <v>55</v>
      </c>
      <c r="E9" s="47" t="s">
        <v>1624</v>
      </c>
      <c r="F9" s="46" t="s">
        <v>39</v>
      </c>
      <c r="G9" s="46" t="s">
        <v>1625</v>
      </c>
      <c r="H9" s="47" t="s">
        <v>1626</v>
      </c>
      <c r="I9" s="46" t="s">
        <v>58</v>
      </c>
      <c r="J9" s="46">
        <v>1</v>
      </c>
      <c r="K9" s="15">
        <v>0.1</v>
      </c>
      <c r="L9" s="53"/>
      <c r="M9" s="48">
        <v>0.333</v>
      </c>
      <c r="N9" s="48">
        <v>0.4995</v>
      </c>
      <c r="O9" s="48">
        <v>0.4329</v>
      </c>
      <c r="P9" s="54">
        <v>0.44955</v>
      </c>
      <c r="Q9" s="46">
        <v>0.4329</v>
      </c>
      <c r="R9" s="46" t="s">
        <v>1622</v>
      </c>
      <c r="S9" s="46"/>
      <c r="T9" s="15">
        <f t="shared" si="1"/>
        <v>0.433</v>
      </c>
      <c r="U9" s="15">
        <f t="shared" si="2"/>
        <v>0.5995</v>
      </c>
      <c r="V9" s="15">
        <f t="shared" si="3"/>
        <v>0.5329</v>
      </c>
      <c r="W9" s="55">
        <f>SUM($K9:$L9,$R9:$S9)+P9</f>
        <v>0.54955</v>
      </c>
      <c r="X9" s="15">
        <f>SUM($K9:$L9,$R9:$S9)+Q9</f>
        <v>0.5329</v>
      </c>
      <c r="Y9" s="5">
        <v>81.25</v>
      </c>
      <c r="Z9" s="49">
        <f t="shared" si="4"/>
        <v>35.18125</v>
      </c>
      <c r="AA9" s="49">
        <f t="shared" si="5"/>
        <v>48.709375</v>
      </c>
      <c r="AB9" s="49">
        <f t="shared" si="6"/>
        <v>43.298125</v>
      </c>
      <c r="AC9" s="49">
        <f t="shared" si="7"/>
        <v>44.6509375</v>
      </c>
      <c r="AD9" s="49">
        <f t="shared" si="8"/>
        <v>43.298125</v>
      </c>
      <c r="AE9" s="5"/>
    </row>
    <row r="10" ht="18" customHeight="1" spans="2:32">
      <c r="B10" s="46">
        <f t="shared" si="0"/>
        <v>6</v>
      </c>
      <c r="C10" s="46" t="s">
        <v>54</v>
      </c>
      <c r="D10" s="46" t="s">
        <v>55</v>
      </c>
      <c r="E10" s="47" t="s">
        <v>1627</v>
      </c>
      <c r="F10" s="46" t="s">
        <v>39</v>
      </c>
      <c r="G10" s="46" t="s">
        <v>1628</v>
      </c>
      <c r="H10" s="47" t="s">
        <v>1629</v>
      </c>
      <c r="I10" s="46" t="s">
        <v>71</v>
      </c>
      <c r="J10" s="46">
        <v>1</v>
      </c>
      <c r="K10" s="15">
        <v>4</v>
      </c>
      <c r="L10" s="46">
        <v>4</v>
      </c>
      <c r="M10" s="46">
        <v>4</v>
      </c>
      <c r="N10" s="46">
        <f>M10*1.5</f>
        <v>6</v>
      </c>
      <c r="O10" s="46">
        <f>M10*1.3</f>
        <v>5.2</v>
      </c>
      <c r="P10" s="46"/>
      <c r="Q10" s="53"/>
      <c r="R10" s="56" t="s">
        <v>1630</v>
      </c>
      <c r="S10" s="46">
        <v>1</v>
      </c>
      <c r="T10" s="15">
        <f t="shared" si="1"/>
        <v>13</v>
      </c>
      <c r="U10" s="15">
        <f t="shared" si="2"/>
        <v>15</v>
      </c>
      <c r="V10" s="15">
        <f t="shared" si="3"/>
        <v>14.2</v>
      </c>
      <c r="W10" s="55"/>
      <c r="X10" s="15"/>
      <c r="Y10" s="5">
        <v>81.25</v>
      </c>
      <c r="Z10" s="49">
        <f t="shared" si="4"/>
        <v>1056.25</v>
      </c>
      <c r="AA10" s="49">
        <f t="shared" si="5"/>
        <v>1218.75</v>
      </c>
      <c r="AB10" s="49">
        <f t="shared" si="6"/>
        <v>1153.75</v>
      </c>
      <c r="AC10" s="49">
        <f t="shared" si="7"/>
        <v>0</v>
      </c>
      <c r="AD10" s="49">
        <f t="shared" si="8"/>
        <v>0</v>
      </c>
      <c r="AE10" s="56" t="s">
        <v>1631</v>
      </c>
    </row>
    <row r="11" ht="18" customHeight="1" spans="2:32">
      <c r="B11" s="46">
        <f t="shared" si="0"/>
        <v>7</v>
      </c>
      <c r="C11" s="46" t="s">
        <v>54</v>
      </c>
      <c r="D11" s="46" t="s">
        <v>55</v>
      </c>
      <c r="E11" s="47" t="s">
        <v>1632</v>
      </c>
      <c r="F11" s="46" t="s">
        <v>39</v>
      </c>
      <c r="G11" s="46" t="s">
        <v>1628</v>
      </c>
      <c r="H11" s="47" t="s">
        <v>1633</v>
      </c>
      <c r="I11" s="46" t="s">
        <v>71</v>
      </c>
      <c r="J11" s="46">
        <v>1</v>
      </c>
      <c r="K11" s="15">
        <v>4</v>
      </c>
      <c r="L11" s="46">
        <v>4</v>
      </c>
      <c r="M11" s="46">
        <v>2</v>
      </c>
      <c r="N11" s="46">
        <f>M11*1.5</f>
        <v>3</v>
      </c>
      <c r="O11" s="46">
        <f>M11*1.3</f>
        <v>2.6</v>
      </c>
      <c r="P11" s="46"/>
      <c r="Q11" s="53"/>
      <c r="R11" s="5"/>
      <c r="S11" s="46">
        <v>1</v>
      </c>
      <c r="T11" s="15">
        <f t="shared" si="1"/>
        <v>11</v>
      </c>
      <c r="U11" s="15">
        <f t="shared" si="2"/>
        <v>12</v>
      </c>
      <c r="V11" s="15">
        <f t="shared" si="3"/>
        <v>11.6</v>
      </c>
      <c r="W11" s="55"/>
      <c r="X11" s="15"/>
      <c r="Y11" s="5">
        <v>81.25</v>
      </c>
      <c r="Z11" s="49">
        <f t="shared" si="4"/>
        <v>893.75</v>
      </c>
      <c r="AA11" s="49">
        <f t="shared" si="5"/>
        <v>975</v>
      </c>
      <c r="AB11" s="49">
        <f t="shared" si="6"/>
        <v>942.5</v>
      </c>
      <c r="AC11" s="49">
        <f t="shared" si="7"/>
        <v>0</v>
      </c>
      <c r="AD11" s="49">
        <f t="shared" si="8"/>
        <v>0</v>
      </c>
      <c r="AE11" s="56" t="s">
        <v>1634</v>
      </c>
    </row>
    <row r="12" ht="18" customHeight="1" spans="2:32">
      <c r="B12" s="46">
        <f t="shared" si="0"/>
        <v>8</v>
      </c>
      <c r="C12" s="46" t="s">
        <v>54</v>
      </c>
      <c r="D12" s="46" t="s">
        <v>55</v>
      </c>
      <c r="E12" s="47" t="s">
        <v>79</v>
      </c>
      <c r="F12" s="46" t="s">
        <v>379</v>
      </c>
      <c r="G12" s="46" t="s">
        <v>379</v>
      </c>
      <c r="H12" s="47" t="s">
        <v>1635</v>
      </c>
      <c r="I12" s="46" t="s">
        <v>58</v>
      </c>
      <c r="J12" s="46">
        <v>1</v>
      </c>
      <c r="K12" s="15">
        <v>4</v>
      </c>
      <c r="L12" s="46" t="s">
        <v>1614</v>
      </c>
      <c r="M12" s="48">
        <v>4.8</v>
      </c>
      <c r="N12" s="48">
        <v>8.1</v>
      </c>
      <c r="O12" s="48">
        <v>7.86</v>
      </c>
      <c r="P12" s="48">
        <v>6.48</v>
      </c>
      <c r="Q12" s="57">
        <v>7.5</v>
      </c>
      <c r="R12" s="57" t="s">
        <v>1614</v>
      </c>
      <c r="S12" s="46">
        <v>1</v>
      </c>
      <c r="T12" s="58">
        <f t="shared" si="1"/>
        <v>9.8</v>
      </c>
      <c r="U12" s="58">
        <f t="shared" si="2"/>
        <v>13.1</v>
      </c>
      <c r="V12" s="58">
        <f t="shared" si="3"/>
        <v>12.86</v>
      </c>
      <c r="W12" s="15">
        <f t="shared" ref="W12:W45" si="9">SUM($K12:$L12,$R12:$S12)+P12</f>
        <v>11.48</v>
      </c>
      <c r="X12" s="15">
        <f>SUM($K12:$L12,$R12:$S12)+Q12</f>
        <v>12.5</v>
      </c>
      <c r="Y12" s="5">
        <v>81.25</v>
      </c>
      <c r="Z12" s="49">
        <f t="shared" si="4"/>
        <v>796.25</v>
      </c>
      <c r="AA12" s="49">
        <f t="shared" si="5"/>
        <v>1064.375</v>
      </c>
      <c r="AB12" s="49">
        <f t="shared" si="6"/>
        <v>1044.875</v>
      </c>
      <c r="AC12" s="49">
        <f t="shared" si="7"/>
        <v>932.75</v>
      </c>
      <c r="AD12" s="49">
        <f t="shared" si="8"/>
        <v>1015.625</v>
      </c>
      <c r="AE12" s="56" t="s">
        <v>1636</v>
      </c>
      <c r="AF12" s="59">
        <f>T12*85</f>
        <v>833</v>
      </c>
    </row>
    <row r="13" ht="18" customHeight="1" spans="2:32">
      <c r="B13" s="46">
        <f t="shared" si="0"/>
        <v>9</v>
      </c>
      <c r="C13" s="46" t="s">
        <v>54</v>
      </c>
      <c r="D13" s="46" t="s">
        <v>55</v>
      </c>
      <c r="E13" s="47" t="s">
        <v>79</v>
      </c>
      <c r="F13" s="46" t="s">
        <v>39</v>
      </c>
      <c r="G13" s="46" t="s">
        <v>1628</v>
      </c>
      <c r="H13" s="47" t="s">
        <v>1637</v>
      </c>
      <c r="I13" s="46" t="s">
        <v>58</v>
      </c>
      <c r="J13" s="46">
        <v>1</v>
      </c>
      <c r="K13" s="15">
        <v>4</v>
      </c>
      <c r="L13" s="46">
        <v>4</v>
      </c>
      <c r="M13" s="48">
        <v>4.8</v>
      </c>
      <c r="N13" s="48">
        <v>8.1</v>
      </c>
      <c r="O13" s="48">
        <v>7.86</v>
      </c>
      <c r="P13" s="48">
        <v>6.48</v>
      </c>
      <c r="Q13" s="46">
        <v>7.5</v>
      </c>
      <c r="R13" s="53">
        <v>4</v>
      </c>
      <c r="S13" s="46">
        <v>1</v>
      </c>
      <c r="T13" s="15">
        <f t="shared" si="1"/>
        <v>17.8</v>
      </c>
      <c r="U13" s="15">
        <f t="shared" si="2"/>
        <v>21.1</v>
      </c>
      <c r="V13" s="15">
        <f t="shared" si="3"/>
        <v>20.86</v>
      </c>
      <c r="W13" s="15">
        <f t="shared" si="9"/>
        <v>19.48</v>
      </c>
      <c r="X13" s="15">
        <f>SUM($K13:$L13,$R13:$S13)+Q13</f>
        <v>20.5</v>
      </c>
      <c r="Y13" s="5">
        <v>81.25</v>
      </c>
      <c r="Z13" s="49">
        <f t="shared" si="4"/>
        <v>1446.25</v>
      </c>
      <c r="AA13" s="49">
        <f t="shared" si="5"/>
        <v>1714.375</v>
      </c>
      <c r="AB13" s="49">
        <f t="shared" si="6"/>
        <v>1694.875</v>
      </c>
      <c r="AC13" s="49">
        <f t="shared" si="7"/>
        <v>1582.75</v>
      </c>
      <c r="AD13" s="49">
        <f t="shared" si="8"/>
        <v>1665.625</v>
      </c>
      <c r="AE13" s="56" t="s">
        <v>1638</v>
      </c>
    </row>
    <row r="14" customHeight="1" spans="2:32">
      <c r="B14" s="46">
        <f t="shared" si="0"/>
        <v>10</v>
      </c>
      <c r="C14" s="46" t="s">
        <v>54</v>
      </c>
      <c r="D14" s="46" t="s">
        <v>55</v>
      </c>
      <c r="E14" s="47" t="s">
        <v>79</v>
      </c>
      <c r="F14" s="46" t="s">
        <v>1611</v>
      </c>
      <c r="G14" s="46" t="s">
        <v>1612</v>
      </c>
      <c r="H14" s="47" t="s">
        <v>1635</v>
      </c>
      <c r="I14" s="46" t="s">
        <v>58</v>
      </c>
      <c r="J14" s="46">
        <v>1</v>
      </c>
      <c r="K14" s="15">
        <v>4</v>
      </c>
      <c r="L14" s="46" t="s">
        <v>1614</v>
      </c>
      <c r="M14" s="48">
        <v>4.8</v>
      </c>
      <c r="N14" s="48">
        <v>8.1</v>
      </c>
      <c r="O14" s="48">
        <v>7.86</v>
      </c>
      <c r="P14" s="48">
        <v>6.48</v>
      </c>
      <c r="Q14" s="46">
        <v>6.2</v>
      </c>
      <c r="R14" s="46" t="s">
        <v>1614</v>
      </c>
      <c r="S14" s="46">
        <v>1</v>
      </c>
      <c r="T14" s="15">
        <f t="shared" si="1"/>
        <v>9.8</v>
      </c>
      <c r="U14" s="15">
        <f t="shared" si="2"/>
        <v>13.1</v>
      </c>
      <c r="V14" s="15">
        <f t="shared" si="3"/>
        <v>12.86</v>
      </c>
      <c r="W14" s="15">
        <f t="shared" si="9"/>
        <v>11.48</v>
      </c>
      <c r="X14" s="15">
        <f>SUM($K14:$L14,$R14:$S14)+Q14</f>
        <v>11.2</v>
      </c>
      <c r="Y14" s="5">
        <v>81.25</v>
      </c>
      <c r="Z14" s="49">
        <f t="shared" si="4"/>
        <v>796.25</v>
      </c>
      <c r="AA14" s="49">
        <f t="shared" si="5"/>
        <v>1064.375</v>
      </c>
      <c r="AB14" s="49">
        <f t="shared" si="6"/>
        <v>1044.875</v>
      </c>
      <c r="AC14" s="49">
        <f t="shared" si="7"/>
        <v>932.75</v>
      </c>
      <c r="AD14" s="49">
        <f t="shared" si="8"/>
        <v>910</v>
      </c>
      <c r="AE14" s="5"/>
    </row>
    <row r="15" ht="18" customHeight="1" spans="2:32">
      <c r="B15" s="46">
        <f t="shared" si="0"/>
        <v>11</v>
      </c>
      <c r="C15" s="46" t="s">
        <v>82</v>
      </c>
      <c r="D15" s="46" t="s">
        <v>83</v>
      </c>
      <c r="E15" s="47" t="s">
        <v>1620</v>
      </c>
      <c r="F15" s="46" t="s">
        <v>53</v>
      </c>
      <c r="G15" s="46" t="s">
        <v>53</v>
      </c>
      <c r="H15" s="47" t="s">
        <v>85</v>
      </c>
      <c r="I15" s="46" t="s">
        <v>58</v>
      </c>
      <c r="J15" s="46">
        <v>1</v>
      </c>
      <c r="K15" s="15">
        <v>2.86</v>
      </c>
      <c r="L15" s="46" t="s">
        <v>1621</v>
      </c>
      <c r="M15" s="48">
        <v>6.15</v>
      </c>
      <c r="N15" s="48">
        <v>9.225</v>
      </c>
      <c r="O15" s="48">
        <v>7.995</v>
      </c>
      <c r="P15" s="48">
        <v>8.3025</v>
      </c>
      <c r="Q15" s="46" t="s">
        <v>46</v>
      </c>
      <c r="R15" s="46"/>
      <c r="S15" s="46">
        <v>1</v>
      </c>
      <c r="T15" s="15">
        <f t="shared" si="1"/>
        <v>10.01</v>
      </c>
      <c r="U15" s="15">
        <f t="shared" si="2"/>
        <v>13.085</v>
      </c>
      <c r="V15" s="15">
        <f t="shared" si="3"/>
        <v>11.855</v>
      </c>
      <c r="W15" s="15">
        <f t="shared" si="9"/>
        <v>12.1625</v>
      </c>
      <c r="X15" s="15"/>
      <c r="Y15" s="5">
        <v>81.25</v>
      </c>
      <c r="Z15" s="49">
        <f t="shared" si="4"/>
        <v>813.3125</v>
      </c>
      <c r="AA15" s="49">
        <f t="shared" si="5"/>
        <v>1063.15625</v>
      </c>
      <c r="AB15" s="49">
        <f t="shared" si="6"/>
        <v>963.21875</v>
      </c>
      <c r="AC15" s="49">
        <f t="shared" si="7"/>
        <v>988.203125</v>
      </c>
      <c r="AD15" s="49">
        <f t="shared" si="8"/>
        <v>0</v>
      </c>
      <c r="AE15" s="52" t="s">
        <v>1623</v>
      </c>
    </row>
    <row r="16" ht="18" customHeight="1" spans="2:32">
      <c r="B16" s="46">
        <f t="shared" si="0"/>
        <v>12</v>
      </c>
      <c r="C16" s="46" t="s">
        <v>82</v>
      </c>
      <c r="D16" s="46" t="s">
        <v>83</v>
      </c>
      <c r="E16" s="47" t="s">
        <v>1620</v>
      </c>
      <c r="F16" s="46" t="s">
        <v>53</v>
      </c>
      <c r="G16" s="46" t="s">
        <v>53</v>
      </c>
      <c r="H16" s="47" t="s">
        <v>1639</v>
      </c>
      <c r="I16" s="46" t="s">
        <v>58</v>
      </c>
      <c r="J16" s="46">
        <v>1</v>
      </c>
      <c r="K16" s="15">
        <v>2.86</v>
      </c>
      <c r="L16" s="46" t="s">
        <v>1621</v>
      </c>
      <c r="M16" s="48">
        <v>7.22</v>
      </c>
      <c r="N16" s="48">
        <v>10.83</v>
      </c>
      <c r="O16" s="48">
        <v>9.386</v>
      </c>
      <c r="P16" s="48">
        <v>9.747</v>
      </c>
      <c r="Q16" s="46" t="s">
        <v>46</v>
      </c>
      <c r="R16" s="46"/>
      <c r="S16" s="46">
        <v>1</v>
      </c>
      <c r="T16" s="15">
        <f t="shared" si="1"/>
        <v>11.08</v>
      </c>
      <c r="U16" s="15">
        <f t="shared" si="2"/>
        <v>14.69</v>
      </c>
      <c r="V16" s="15">
        <f t="shared" si="3"/>
        <v>13.246</v>
      </c>
      <c r="W16" s="15">
        <f t="shared" si="9"/>
        <v>13.607</v>
      </c>
      <c r="X16" s="15"/>
      <c r="Y16" s="5">
        <v>81.25</v>
      </c>
      <c r="Z16" s="49">
        <f t="shared" si="4"/>
        <v>900.25</v>
      </c>
      <c r="AA16" s="49">
        <f t="shared" si="5"/>
        <v>1193.5625</v>
      </c>
      <c r="AB16" s="49">
        <f t="shared" si="6"/>
        <v>1076.2375</v>
      </c>
      <c r="AC16" s="49">
        <f t="shared" si="7"/>
        <v>1105.56875</v>
      </c>
      <c r="AD16" s="49">
        <f t="shared" si="8"/>
        <v>0</v>
      </c>
      <c r="AE16" s="52" t="s">
        <v>1623</v>
      </c>
    </row>
    <row r="17" ht="18" customHeight="1" spans="2:32">
      <c r="B17" s="46">
        <f t="shared" si="0"/>
        <v>13</v>
      </c>
      <c r="C17" s="46" t="s">
        <v>82</v>
      </c>
      <c r="D17" s="46" t="s">
        <v>83</v>
      </c>
      <c r="E17" s="47" t="s">
        <v>1624</v>
      </c>
      <c r="F17" s="46" t="s">
        <v>39</v>
      </c>
      <c r="G17" s="46" t="s">
        <v>1625</v>
      </c>
      <c r="H17" s="47" t="s">
        <v>1640</v>
      </c>
      <c r="I17" s="46" t="s">
        <v>58</v>
      </c>
      <c r="J17" s="46">
        <v>1</v>
      </c>
      <c r="K17" s="15"/>
      <c r="L17" s="53"/>
      <c r="M17" s="15">
        <v>4.75</v>
      </c>
      <c r="N17" s="48">
        <v>7.125</v>
      </c>
      <c r="O17" s="48">
        <v>6.175</v>
      </c>
      <c r="P17" s="48">
        <v>6.4125</v>
      </c>
      <c r="Q17" s="46" t="s">
        <v>46</v>
      </c>
      <c r="R17" s="46" t="s">
        <v>1641</v>
      </c>
      <c r="S17" s="46">
        <v>1</v>
      </c>
      <c r="T17" s="15">
        <f t="shared" si="1"/>
        <v>5.75</v>
      </c>
      <c r="U17" s="15">
        <f t="shared" si="2"/>
        <v>8.125</v>
      </c>
      <c r="V17" s="15">
        <f t="shared" si="3"/>
        <v>7.175</v>
      </c>
      <c r="W17" s="15">
        <f t="shared" si="9"/>
        <v>7.4125</v>
      </c>
      <c r="X17" s="15"/>
      <c r="Y17" s="5">
        <v>81.25</v>
      </c>
      <c r="Z17" s="49">
        <f t="shared" si="4"/>
        <v>467.1875</v>
      </c>
      <c r="AA17" s="49">
        <f t="shared" si="5"/>
        <v>660.15625</v>
      </c>
      <c r="AB17" s="49">
        <f t="shared" si="6"/>
        <v>582.96875</v>
      </c>
      <c r="AC17" s="49">
        <f t="shared" si="7"/>
        <v>602.265625</v>
      </c>
      <c r="AD17" s="49">
        <f t="shared" si="8"/>
        <v>0</v>
      </c>
      <c r="AE17" s="56" t="s">
        <v>1642</v>
      </c>
    </row>
    <row r="18" customHeight="1" spans="2:32">
      <c r="B18" s="46"/>
      <c r="C18" s="46"/>
      <c r="D18" s="46"/>
      <c r="E18" s="47"/>
      <c r="F18" s="46"/>
      <c r="G18" s="46"/>
      <c r="H18" s="47"/>
      <c r="I18" s="46"/>
      <c r="J18" s="46"/>
      <c r="K18" s="15"/>
      <c r="L18" s="53"/>
      <c r="M18" s="15">
        <f>(M17+M19)/2</f>
        <v>4.915</v>
      </c>
      <c r="N18" s="48">
        <f>M18*1.5</f>
        <v>7.3725</v>
      </c>
      <c r="O18" s="48">
        <f>M18*1.3</f>
        <v>6.3895</v>
      </c>
      <c r="P18" s="48">
        <f>M18*1.35</f>
        <v>6.63525</v>
      </c>
      <c r="Q18" s="46" t="s">
        <v>46</v>
      </c>
      <c r="R18" s="46"/>
      <c r="S18" s="46"/>
      <c r="T18" s="15">
        <f t="shared" si="1"/>
        <v>4.915</v>
      </c>
      <c r="U18" s="15">
        <f t="shared" si="2"/>
        <v>7.3725</v>
      </c>
      <c r="V18" s="15">
        <f t="shared" si="3"/>
        <v>6.3895</v>
      </c>
      <c r="W18" s="15">
        <f t="shared" si="9"/>
        <v>6.63525</v>
      </c>
      <c r="X18" s="15"/>
      <c r="Y18" s="5">
        <v>81.25</v>
      </c>
      <c r="Z18" s="49">
        <f t="shared" si="4"/>
        <v>399.34375</v>
      </c>
      <c r="AA18" s="49">
        <f t="shared" si="5"/>
        <v>599.015625</v>
      </c>
      <c r="AB18" s="49">
        <f t="shared" si="6"/>
        <v>519.146875</v>
      </c>
      <c r="AC18" s="49">
        <f t="shared" si="7"/>
        <v>539.1140625</v>
      </c>
      <c r="AD18" s="49">
        <f t="shared" si="8"/>
        <v>0</v>
      </c>
      <c r="AE18" s="5" t="s">
        <v>1643</v>
      </c>
    </row>
    <row r="19" ht="18" customHeight="1" spans="2:32">
      <c r="B19" s="46">
        <f t="shared" ref="B19:B45" si="10">ROW()-4</f>
        <v>15</v>
      </c>
      <c r="C19" s="46" t="s">
        <v>82</v>
      </c>
      <c r="D19" s="46" t="s">
        <v>83</v>
      </c>
      <c r="E19" s="47" t="s">
        <v>1624</v>
      </c>
      <c r="F19" s="46" t="s">
        <v>39</v>
      </c>
      <c r="G19" s="46" t="s">
        <v>1625</v>
      </c>
      <c r="H19" s="47" t="s">
        <v>1644</v>
      </c>
      <c r="I19" s="46" t="s">
        <v>58</v>
      </c>
      <c r="J19" s="46">
        <v>1</v>
      </c>
      <c r="K19" s="15"/>
      <c r="L19" s="46"/>
      <c r="M19" s="15">
        <v>5.08</v>
      </c>
      <c r="N19" s="48">
        <v>7.62</v>
      </c>
      <c r="O19" s="48">
        <v>6.604</v>
      </c>
      <c r="P19" s="48">
        <v>6.858</v>
      </c>
      <c r="Q19" s="46" t="s">
        <v>46</v>
      </c>
      <c r="R19" s="46"/>
      <c r="S19" s="46">
        <v>1</v>
      </c>
      <c r="T19" s="15">
        <f t="shared" si="1"/>
        <v>6.08</v>
      </c>
      <c r="U19" s="15">
        <f t="shared" si="2"/>
        <v>8.62</v>
      </c>
      <c r="V19" s="15">
        <f t="shared" si="3"/>
        <v>7.604</v>
      </c>
      <c r="W19" s="15">
        <f t="shared" si="9"/>
        <v>7.858</v>
      </c>
      <c r="X19" s="15"/>
      <c r="Y19" s="5">
        <v>81.25</v>
      </c>
      <c r="Z19" s="49">
        <f t="shared" si="4"/>
        <v>494</v>
      </c>
      <c r="AA19" s="49">
        <f t="shared" si="5"/>
        <v>700.375</v>
      </c>
      <c r="AB19" s="49">
        <f t="shared" si="6"/>
        <v>617.825</v>
      </c>
      <c r="AC19" s="49">
        <f t="shared" si="7"/>
        <v>638.4625</v>
      </c>
      <c r="AD19" s="49">
        <f t="shared" si="8"/>
        <v>0</v>
      </c>
      <c r="AE19" s="5"/>
    </row>
    <row r="20" ht="18" customHeight="1" spans="2:32">
      <c r="B20" s="46">
        <f t="shared" si="10"/>
        <v>16</v>
      </c>
      <c r="C20" s="46" t="s">
        <v>82</v>
      </c>
      <c r="D20" s="46" t="s">
        <v>83</v>
      </c>
      <c r="E20" s="47" t="s">
        <v>1627</v>
      </c>
      <c r="F20" s="46" t="s">
        <v>39</v>
      </c>
      <c r="G20" s="46" t="s">
        <v>1628</v>
      </c>
      <c r="H20" s="47" t="s">
        <v>70</v>
      </c>
      <c r="I20" s="46" t="s">
        <v>71</v>
      </c>
      <c r="J20" s="46">
        <v>1</v>
      </c>
      <c r="K20" s="60">
        <v>4</v>
      </c>
      <c r="L20" s="46">
        <v>4</v>
      </c>
      <c r="M20" s="48">
        <v>8</v>
      </c>
      <c r="N20" s="48">
        <v>12</v>
      </c>
      <c r="O20" s="48">
        <v>10.4</v>
      </c>
      <c r="P20" s="48">
        <v>10.8</v>
      </c>
      <c r="Q20" s="46" t="s">
        <v>46</v>
      </c>
      <c r="R20" s="46"/>
      <c r="S20" s="46">
        <v>1</v>
      </c>
      <c r="T20" s="15">
        <f t="shared" si="1"/>
        <v>17</v>
      </c>
      <c r="U20" s="15">
        <f t="shared" si="2"/>
        <v>21</v>
      </c>
      <c r="V20" s="15">
        <f t="shared" si="3"/>
        <v>19.4</v>
      </c>
      <c r="W20" s="15">
        <f t="shared" si="9"/>
        <v>19.8</v>
      </c>
      <c r="X20" s="15"/>
      <c r="Y20" s="5">
        <v>81.25</v>
      </c>
      <c r="Z20" s="49">
        <f t="shared" si="4"/>
        <v>1381.25</v>
      </c>
      <c r="AA20" s="49">
        <f t="shared" si="5"/>
        <v>1706.25</v>
      </c>
      <c r="AB20" s="49">
        <f t="shared" si="6"/>
        <v>1576.25</v>
      </c>
      <c r="AC20" s="49">
        <f t="shared" si="7"/>
        <v>1608.75</v>
      </c>
      <c r="AD20" s="49">
        <f t="shared" si="8"/>
        <v>0</v>
      </c>
      <c r="AE20" s="5" t="s">
        <v>72</v>
      </c>
    </row>
    <row r="21" ht="18" customHeight="1" spans="2:32">
      <c r="B21" s="46">
        <f t="shared" si="10"/>
        <v>17</v>
      </c>
      <c r="C21" s="46" t="s">
        <v>82</v>
      </c>
      <c r="D21" s="46" t="s">
        <v>83</v>
      </c>
      <c r="E21" s="47" t="s">
        <v>1632</v>
      </c>
      <c r="F21" s="46" t="s">
        <v>39</v>
      </c>
      <c r="G21" s="46" t="s">
        <v>1628</v>
      </c>
      <c r="H21" s="61" t="s">
        <v>74</v>
      </c>
      <c r="I21" s="46" t="s">
        <v>71</v>
      </c>
      <c r="J21" s="46">
        <v>1</v>
      </c>
      <c r="K21" s="60">
        <v>4</v>
      </c>
      <c r="L21" s="46">
        <v>4</v>
      </c>
      <c r="M21" s="48">
        <v>6</v>
      </c>
      <c r="N21" s="48">
        <v>9</v>
      </c>
      <c r="O21" s="48">
        <v>7.8</v>
      </c>
      <c r="P21" s="48">
        <v>8.1</v>
      </c>
      <c r="Q21" s="46" t="s">
        <v>46</v>
      </c>
      <c r="R21" s="46"/>
      <c r="S21" s="46">
        <v>1</v>
      </c>
      <c r="T21" s="15">
        <f t="shared" si="1"/>
        <v>15</v>
      </c>
      <c r="U21" s="15">
        <f t="shared" si="2"/>
        <v>18</v>
      </c>
      <c r="V21" s="15">
        <f t="shared" si="3"/>
        <v>16.8</v>
      </c>
      <c r="W21" s="15">
        <f t="shared" si="9"/>
        <v>17.1</v>
      </c>
      <c r="X21" s="15"/>
      <c r="Y21" s="5">
        <v>81.25</v>
      </c>
      <c r="Z21" s="49">
        <f t="shared" si="4"/>
        <v>1218.75</v>
      </c>
      <c r="AA21" s="49">
        <f t="shared" si="5"/>
        <v>1462.5</v>
      </c>
      <c r="AB21" s="49">
        <f t="shared" si="6"/>
        <v>1365</v>
      </c>
      <c r="AC21" s="49">
        <f t="shared" si="7"/>
        <v>1389.375</v>
      </c>
      <c r="AD21" s="49">
        <f t="shared" si="8"/>
        <v>0</v>
      </c>
      <c r="AE21" s="52" t="s">
        <v>1645</v>
      </c>
    </row>
    <row r="22" ht="18" customHeight="1" spans="2:32">
      <c r="B22" s="46">
        <f t="shared" si="10"/>
        <v>18</v>
      </c>
      <c r="C22" s="46" t="s">
        <v>82</v>
      </c>
      <c r="D22" s="46" t="s">
        <v>83</v>
      </c>
      <c r="E22" s="47" t="s">
        <v>1646</v>
      </c>
      <c r="F22" s="46" t="s">
        <v>39</v>
      </c>
      <c r="G22" s="46" t="s">
        <v>1628</v>
      </c>
      <c r="H22" s="47" t="s">
        <v>76</v>
      </c>
      <c r="I22" s="46" t="s">
        <v>71</v>
      </c>
      <c r="J22" s="46">
        <v>1</v>
      </c>
      <c r="K22" s="60">
        <v>4</v>
      </c>
      <c r="L22" s="53">
        <v>4</v>
      </c>
      <c r="M22" s="60">
        <v>4</v>
      </c>
      <c r="N22" s="48">
        <v>6</v>
      </c>
      <c r="O22" s="48">
        <v>5.2</v>
      </c>
      <c r="P22" s="48">
        <v>5.4</v>
      </c>
      <c r="Q22" s="46" t="s">
        <v>46</v>
      </c>
      <c r="R22" s="46"/>
      <c r="S22" s="46">
        <v>1</v>
      </c>
      <c r="T22" s="15">
        <f t="shared" si="1"/>
        <v>13</v>
      </c>
      <c r="U22" s="15">
        <f t="shared" si="2"/>
        <v>15</v>
      </c>
      <c r="V22" s="15">
        <f t="shared" si="3"/>
        <v>14.2</v>
      </c>
      <c r="W22" s="15">
        <f t="shared" si="9"/>
        <v>14.4</v>
      </c>
      <c r="X22" s="15"/>
      <c r="Y22" s="5">
        <v>81.25</v>
      </c>
      <c r="Z22" s="49">
        <f t="shared" si="4"/>
        <v>1056.25</v>
      </c>
      <c r="AA22" s="49">
        <f t="shared" si="5"/>
        <v>1218.75</v>
      </c>
      <c r="AB22" s="49">
        <f t="shared" si="6"/>
        <v>1153.75</v>
      </c>
      <c r="AC22" s="49">
        <f t="shared" si="7"/>
        <v>1170</v>
      </c>
      <c r="AD22" s="49">
        <f t="shared" si="8"/>
        <v>0</v>
      </c>
      <c r="AE22" s="52"/>
    </row>
    <row r="23" ht="18" customHeight="1" spans="2:32">
      <c r="B23" s="46">
        <f t="shared" si="10"/>
        <v>19</v>
      </c>
      <c r="C23" s="46" t="s">
        <v>82</v>
      </c>
      <c r="D23" s="46" t="s">
        <v>83</v>
      </c>
      <c r="E23" s="47" t="s">
        <v>1647</v>
      </c>
      <c r="F23" s="46" t="s">
        <v>39</v>
      </c>
      <c r="G23" s="46" t="s">
        <v>1628</v>
      </c>
      <c r="H23" s="47" t="s">
        <v>78</v>
      </c>
      <c r="I23" s="46" t="s">
        <v>71</v>
      </c>
      <c r="J23" s="46">
        <v>1</v>
      </c>
      <c r="K23" s="60">
        <v>4</v>
      </c>
      <c r="L23" s="46">
        <v>4</v>
      </c>
      <c r="M23" s="48">
        <v>2</v>
      </c>
      <c r="N23" s="48">
        <v>3</v>
      </c>
      <c r="O23" s="48">
        <v>2.6</v>
      </c>
      <c r="P23" s="48">
        <v>2.7</v>
      </c>
      <c r="Q23" s="46" t="s">
        <v>46</v>
      </c>
      <c r="R23" s="46"/>
      <c r="S23" s="46">
        <v>1</v>
      </c>
      <c r="T23" s="15">
        <f t="shared" si="1"/>
        <v>11</v>
      </c>
      <c r="U23" s="15">
        <f t="shared" si="2"/>
        <v>12</v>
      </c>
      <c r="V23" s="15">
        <f t="shared" si="3"/>
        <v>11.6</v>
      </c>
      <c r="W23" s="15">
        <f t="shared" si="9"/>
        <v>11.7</v>
      </c>
      <c r="X23" s="15"/>
      <c r="Y23" s="5">
        <v>81.25</v>
      </c>
      <c r="Z23" s="49">
        <f t="shared" si="4"/>
        <v>893.75</v>
      </c>
      <c r="AA23" s="49">
        <f t="shared" si="5"/>
        <v>975</v>
      </c>
      <c r="AB23" s="49">
        <f t="shared" si="6"/>
        <v>942.5</v>
      </c>
      <c r="AC23" s="49">
        <f t="shared" si="7"/>
        <v>950.625</v>
      </c>
      <c r="AD23" s="49">
        <f t="shared" si="8"/>
        <v>0</v>
      </c>
      <c r="AE23" s="5" t="s">
        <v>72</v>
      </c>
    </row>
    <row r="24" ht="18" customHeight="1" spans="2:32">
      <c r="B24" s="46">
        <f t="shared" si="10"/>
        <v>20</v>
      </c>
      <c r="C24" s="46" t="s">
        <v>82</v>
      </c>
      <c r="D24" s="46" t="s">
        <v>906</v>
      </c>
      <c r="E24" s="47" t="s">
        <v>1624</v>
      </c>
      <c r="F24" s="46" t="s">
        <v>39</v>
      </c>
      <c r="G24" s="46" t="s">
        <v>1625</v>
      </c>
      <c r="H24" s="47" t="s">
        <v>184</v>
      </c>
      <c r="I24" s="46" t="s">
        <v>58</v>
      </c>
      <c r="J24" s="46">
        <v>1</v>
      </c>
      <c r="K24" s="60">
        <v>4</v>
      </c>
      <c r="L24" s="46"/>
      <c r="M24" s="15">
        <v>4.915</v>
      </c>
      <c r="N24" s="15">
        <v>7.3725</v>
      </c>
      <c r="O24" s="15">
        <v>6.3895</v>
      </c>
      <c r="P24" s="15">
        <v>6.63525</v>
      </c>
      <c r="Q24" s="46" t="s">
        <v>46</v>
      </c>
      <c r="R24" s="46"/>
      <c r="S24" s="46"/>
      <c r="T24" s="15">
        <f t="shared" si="1"/>
        <v>8.915</v>
      </c>
      <c r="U24" s="15">
        <f t="shared" si="2"/>
        <v>11.3725</v>
      </c>
      <c r="V24" s="15">
        <f t="shared" si="3"/>
        <v>10.3895</v>
      </c>
      <c r="W24" s="15">
        <f t="shared" si="9"/>
        <v>10.63525</v>
      </c>
      <c r="X24" s="15"/>
      <c r="Y24" s="5">
        <v>81.25</v>
      </c>
      <c r="Z24" s="49">
        <f t="shared" si="4"/>
        <v>724.34375</v>
      </c>
      <c r="AA24" s="49">
        <f t="shared" si="5"/>
        <v>924.015625</v>
      </c>
      <c r="AB24" s="49">
        <f t="shared" si="6"/>
        <v>844.146875</v>
      </c>
      <c r="AC24" s="49">
        <f t="shared" si="7"/>
        <v>864.1140625</v>
      </c>
      <c r="AD24" s="49">
        <f t="shared" si="8"/>
        <v>0</v>
      </c>
      <c r="AE24" s="5" t="s">
        <v>1648</v>
      </c>
    </row>
    <row r="25" ht="41.25" customHeight="1" spans="2:32">
      <c r="B25" s="46">
        <f t="shared" si="10"/>
        <v>21</v>
      </c>
      <c r="C25" s="46" t="s">
        <v>82</v>
      </c>
      <c r="D25" s="46" t="s">
        <v>906</v>
      </c>
      <c r="E25" s="47" t="s">
        <v>1632</v>
      </c>
      <c r="F25" s="46" t="s">
        <v>39</v>
      </c>
      <c r="G25" s="46" t="s">
        <v>1628</v>
      </c>
      <c r="H25" s="61" t="s">
        <v>74</v>
      </c>
      <c r="I25" s="46" t="s">
        <v>71</v>
      </c>
      <c r="J25" s="46">
        <v>1</v>
      </c>
      <c r="K25" s="60">
        <v>4</v>
      </c>
      <c r="L25" s="46">
        <v>4</v>
      </c>
      <c r="M25" s="62">
        <v>6</v>
      </c>
      <c r="N25" s="62">
        <v>8.1</v>
      </c>
      <c r="O25" s="62">
        <v>7.8</v>
      </c>
      <c r="P25" s="62">
        <v>9</v>
      </c>
      <c r="Q25" s="46" t="s">
        <v>46</v>
      </c>
      <c r="R25" s="46"/>
      <c r="S25" s="46">
        <v>1</v>
      </c>
      <c r="T25" s="15">
        <f t="shared" si="1"/>
        <v>15</v>
      </c>
      <c r="U25" s="15">
        <f t="shared" si="2"/>
        <v>17.1</v>
      </c>
      <c r="V25" s="15">
        <f t="shared" si="3"/>
        <v>16.8</v>
      </c>
      <c r="W25" s="15">
        <f t="shared" si="9"/>
        <v>18</v>
      </c>
      <c r="X25" s="15"/>
      <c r="Y25" s="5">
        <v>81.25</v>
      </c>
      <c r="Z25" s="49">
        <f t="shared" si="4"/>
        <v>1218.75</v>
      </c>
      <c r="AA25" s="49">
        <f t="shared" si="5"/>
        <v>1389.375</v>
      </c>
      <c r="AB25" s="49">
        <f t="shared" si="6"/>
        <v>1365</v>
      </c>
      <c r="AC25" s="49">
        <f t="shared" si="7"/>
        <v>1462.5</v>
      </c>
      <c r="AD25" s="49">
        <f t="shared" si="8"/>
        <v>0</v>
      </c>
      <c r="AE25" s="63" t="s">
        <v>1649</v>
      </c>
    </row>
    <row r="26" ht="18" customHeight="1" spans="2:32">
      <c r="B26" s="46">
        <f t="shared" si="10"/>
        <v>22</v>
      </c>
      <c r="C26" s="46" t="s">
        <v>403</v>
      </c>
      <c r="D26" s="5" t="s">
        <v>410</v>
      </c>
      <c r="E26" s="47" t="s">
        <v>1650</v>
      </c>
      <c r="F26" s="46" t="s">
        <v>53</v>
      </c>
      <c r="G26" s="46" t="s">
        <v>53</v>
      </c>
      <c r="H26" s="47" t="s">
        <v>661</v>
      </c>
      <c r="I26" s="46" t="s">
        <v>413</v>
      </c>
      <c r="J26" s="46">
        <v>1</v>
      </c>
      <c r="K26" s="15">
        <v>2.86</v>
      </c>
      <c r="L26" s="46" t="s">
        <v>1621</v>
      </c>
      <c r="M26" s="48">
        <v>0.9</v>
      </c>
      <c r="N26" s="48" t="s">
        <v>46</v>
      </c>
      <c r="O26" s="48" t="s">
        <v>46</v>
      </c>
      <c r="P26" s="48">
        <v>1.215</v>
      </c>
      <c r="Q26" s="46" t="s">
        <v>46</v>
      </c>
      <c r="R26" s="46"/>
      <c r="S26" s="46">
        <v>1</v>
      </c>
      <c r="T26" s="15">
        <f t="shared" si="1"/>
        <v>4.76</v>
      </c>
      <c r="U26" s="15"/>
      <c r="V26" s="15"/>
      <c r="W26" s="15">
        <f t="shared" si="9"/>
        <v>5.075</v>
      </c>
      <c r="X26" s="15"/>
      <c r="Y26" s="5">
        <v>81.25</v>
      </c>
      <c r="Z26" s="49">
        <f t="shared" si="4"/>
        <v>386.75</v>
      </c>
      <c r="AA26" s="49">
        <f t="shared" si="5"/>
        <v>0</v>
      </c>
      <c r="AB26" s="49">
        <f t="shared" si="6"/>
        <v>0</v>
      </c>
      <c r="AC26" s="49">
        <f t="shared" si="7"/>
        <v>412.34375</v>
      </c>
      <c r="AD26" s="49">
        <f t="shared" si="8"/>
        <v>0</v>
      </c>
      <c r="AE26" s="52" t="s">
        <v>1623</v>
      </c>
      <c r="AF26" s="64" t="s">
        <v>1651</v>
      </c>
    </row>
    <row r="27" ht="18" customHeight="1" spans="2:32">
      <c r="B27" s="46">
        <f t="shared" si="10"/>
        <v>23</v>
      </c>
      <c r="C27" s="46" t="s">
        <v>403</v>
      </c>
      <c r="D27" s="5" t="s">
        <v>410</v>
      </c>
      <c r="E27" s="47" t="s">
        <v>1652</v>
      </c>
      <c r="F27" s="46" t="s">
        <v>53</v>
      </c>
      <c r="G27" s="46" t="s">
        <v>53</v>
      </c>
      <c r="H27" s="47" t="s">
        <v>429</v>
      </c>
      <c r="I27" s="46" t="s">
        <v>413</v>
      </c>
      <c r="J27" s="46">
        <v>1</v>
      </c>
      <c r="K27" s="15">
        <v>2.86</v>
      </c>
      <c r="L27" s="46" t="s">
        <v>1621</v>
      </c>
      <c r="M27" s="48">
        <v>0.78</v>
      </c>
      <c r="N27" s="48" t="s">
        <v>46</v>
      </c>
      <c r="O27" s="48" t="s">
        <v>46</v>
      </c>
      <c r="P27" s="48">
        <v>1.053</v>
      </c>
      <c r="Q27" s="46" t="s">
        <v>46</v>
      </c>
      <c r="R27" s="46"/>
      <c r="S27" s="46">
        <v>1</v>
      </c>
      <c r="T27" s="15">
        <f t="shared" si="1"/>
        <v>4.64</v>
      </c>
      <c r="U27" s="15"/>
      <c r="V27" s="15"/>
      <c r="W27" s="15">
        <f t="shared" si="9"/>
        <v>4.913</v>
      </c>
      <c r="X27" s="15"/>
      <c r="Y27" s="5">
        <v>81.25</v>
      </c>
      <c r="Z27" s="49">
        <f t="shared" si="4"/>
        <v>377</v>
      </c>
      <c r="AA27" s="49">
        <f t="shared" si="5"/>
        <v>0</v>
      </c>
      <c r="AB27" s="49">
        <f t="shared" si="6"/>
        <v>0</v>
      </c>
      <c r="AC27" s="49">
        <f t="shared" si="7"/>
        <v>399.18125</v>
      </c>
      <c r="AD27" s="49">
        <f t="shared" si="8"/>
        <v>0</v>
      </c>
      <c r="AE27" s="52" t="s">
        <v>1623</v>
      </c>
    </row>
    <row r="28" ht="18" customHeight="1" spans="2:32">
      <c r="B28" s="46">
        <f t="shared" si="10"/>
        <v>24</v>
      </c>
      <c r="C28" s="46" t="s">
        <v>403</v>
      </c>
      <c r="D28" s="5" t="s">
        <v>410</v>
      </c>
      <c r="E28" s="47" t="s">
        <v>1653</v>
      </c>
      <c r="F28" s="46" t="s">
        <v>53</v>
      </c>
      <c r="G28" s="46" t="s">
        <v>53</v>
      </c>
      <c r="H28" s="47" t="s">
        <v>1654</v>
      </c>
      <c r="I28" s="46" t="s">
        <v>413</v>
      </c>
      <c r="J28" s="46">
        <v>1</v>
      </c>
      <c r="K28" s="15">
        <v>2.86</v>
      </c>
      <c r="L28" s="46" t="s">
        <v>1621</v>
      </c>
      <c r="M28" s="48">
        <v>1</v>
      </c>
      <c r="N28" s="48" t="s">
        <v>46</v>
      </c>
      <c r="O28" s="48" t="s">
        <v>46</v>
      </c>
      <c r="P28" s="48">
        <v>1.35</v>
      </c>
      <c r="Q28" s="46" t="s">
        <v>46</v>
      </c>
      <c r="R28" s="46"/>
      <c r="S28" s="46">
        <v>1</v>
      </c>
      <c r="T28" s="15">
        <f t="shared" si="1"/>
        <v>4.86</v>
      </c>
      <c r="U28" s="15"/>
      <c r="V28" s="15"/>
      <c r="W28" s="15">
        <f t="shared" si="9"/>
        <v>5.21</v>
      </c>
      <c r="X28" s="15"/>
      <c r="Y28" s="5">
        <v>81.25</v>
      </c>
      <c r="Z28" s="49">
        <f t="shared" si="4"/>
        <v>394.875</v>
      </c>
      <c r="AA28" s="49">
        <f t="shared" si="5"/>
        <v>0</v>
      </c>
      <c r="AB28" s="49">
        <f t="shared" si="6"/>
        <v>0</v>
      </c>
      <c r="AC28" s="49">
        <f t="shared" si="7"/>
        <v>423.3125</v>
      </c>
      <c r="AD28" s="49">
        <f t="shared" si="8"/>
        <v>0</v>
      </c>
      <c r="AE28" s="52" t="s">
        <v>1623</v>
      </c>
    </row>
    <row r="29" ht="18" customHeight="1" spans="2:32">
      <c r="B29" s="46">
        <f t="shared" si="10"/>
        <v>25</v>
      </c>
      <c r="C29" s="46" t="s">
        <v>403</v>
      </c>
      <c r="D29" s="5" t="s">
        <v>410</v>
      </c>
      <c r="E29" s="47" t="s">
        <v>1655</v>
      </c>
      <c r="F29" s="46" t="s">
        <v>53</v>
      </c>
      <c r="G29" s="46" t="s">
        <v>53</v>
      </c>
      <c r="H29" s="47" t="s">
        <v>516</v>
      </c>
      <c r="I29" s="46" t="s">
        <v>413</v>
      </c>
      <c r="J29" s="46">
        <v>1</v>
      </c>
      <c r="K29" s="15">
        <v>2.86</v>
      </c>
      <c r="L29" s="46" t="s">
        <v>1621</v>
      </c>
      <c r="M29" s="48">
        <v>0.4</v>
      </c>
      <c r="N29" s="48" t="s">
        <v>46</v>
      </c>
      <c r="O29" s="48" t="s">
        <v>46</v>
      </c>
      <c r="P29" s="48">
        <v>0.54</v>
      </c>
      <c r="Q29" s="46" t="s">
        <v>46</v>
      </c>
      <c r="R29" s="46"/>
      <c r="S29" s="46">
        <v>1</v>
      </c>
      <c r="T29" s="15">
        <f t="shared" si="1"/>
        <v>4.26</v>
      </c>
      <c r="U29" s="15"/>
      <c r="V29" s="15"/>
      <c r="W29" s="15">
        <f t="shared" si="9"/>
        <v>4.4</v>
      </c>
      <c r="X29" s="15"/>
      <c r="Y29" s="5">
        <v>81.25</v>
      </c>
      <c r="Z29" s="49">
        <f t="shared" si="4"/>
        <v>346.125</v>
      </c>
      <c r="AA29" s="49">
        <f t="shared" si="5"/>
        <v>0</v>
      </c>
      <c r="AB29" s="49">
        <f t="shared" si="6"/>
        <v>0</v>
      </c>
      <c r="AC29" s="49">
        <f t="shared" si="7"/>
        <v>357.5</v>
      </c>
      <c r="AD29" s="49">
        <f t="shared" si="8"/>
        <v>0</v>
      </c>
      <c r="AE29" s="52" t="s">
        <v>1623</v>
      </c>
    </row>
    <row r="30" ht="18" customHeight="1" spans="2:32">
      <c r="B30" s="46">
        <f t="shared" si="10"/>
        <v>26</v>
      </c>
      <c r="C30" s="46" t="s">
        <v>403</v>
      </c>
      <c r="D30" s="5" t="s">
        <v>410</v>
      </c>
      <c r="E30" s="47" t="s">
        <v>1656</v>
      </c>
      <c r="F30" s="46" t="s">
        <v>53</v>
      </c>
      <c r="G30" s="46" t="s">
        <v>53</v>
      </c>
      <c r="H30" s="47" t="s">
        <v>778</v>
      </c>
      <c r="I30" s="46" t="s">
        <v>413</v>
      </c>
      <c r="J30" s="46">
        <v>1</v>
      </c>
      <c r="K30" s="15">
        <v>2.86</v>
      </c>
      <c r="L30" s="46" t="s">
        <v>1621</v>
      </c>
      <c r="M30" s="48">
        <v>0.46</v>
      </c>
      <c r="N30" s="48" t="s">
        <v>46</v>
      </c>
      <c r="O30" s="48" t="s">
        <v>46</v>
      </c>
      <c r="P30" s="48">
        <v>0.621</v>
      </c>
      <c r="Q30" s="46" t="s">
        <v>46</v>
      </c>
      <c r="R30" s="46"/>
      <c r="S30" s="46">
        <v>1</v>
      </c>
      <c r="T30" s="15">
        <f t="shared" si="1"/>
        <v>4.32</v>
      </c>
      <c r="U30" s="15"/>
      <c r="V30" s="15"/>
      <c r="W30" s="15">
        <f t="shared" si="9"/>
        <v>4.481</v>
      </c>
      <c r="X30" s="15"/>
      <c r="Y30" s="5">
        <v>81.25</v>
      </c>
      <c r="Z30" s="49">
        <f t="shared" si="4"/>
        <v>351</v>
      </c>
      <c r="AA30" s="49">
        <f t="shared" si="5"/>
        <v>0</v>
      </c>
      <c r="AB30" s="49">
        <f t="shared" si="6"/>
        <v>0</v>
      </c>
      <c r="AC30" s="49">
        <f t="shared" si="7"/>
        <v>364.08125</v>
      </c>
      <c r="AD30" s="49">
        <f t="shared" si="8"/>
        <v>0</v>
      </c>
      <c r="AE30" s="52" t="s">
        <v>1623</v>
      </c>
    </row>
    <row r="31" ht="18" customHeight="1" spans="2:32">
      <c r="B31" s="46">
        <f t="shared" si="10"/>
        <v>27</v>
      </c>
      <c r="C31" s="46" t="s">
        <v>403</v>
      </c>
      <c r="D31" s="5" t="s">
        <v>410</v>
      </c>
      <c r="E31" s="47" t="s">
        <v>1657</v>
      </c>
      <c r="F31" s="46" t="s">
        <v>53</v>
      </c>
      <c r="G31" s="46" t="s">
        <v>53</v>
      </c>
      <c r="H31" s="47" t="s">
        <v>789</v>
      </c>
      <c r="I31" s="46" t="s">
        <v>409</v>
      </c>
      <c r="J31" s="46">
        <v>1</v>
      </c>
      <c r="K31" s="15">
        <v>2.86</v>
      </c>
      <c r="L31" s="46" t="s">
        <v>1621</v>
      </c>
      <c r="M31" s="48">
        <v>76.25</v>
      </c>
      <c r="N31" s="48" t="s">
        <v>46</v>
      </c>
      <c r="O31" s="48" t="s">
        <v>46</v>
      </c>
      <c r="P31" s="48">
        <v>102.9375</v>
      </c>
      <c r="Q31" s="46" t="s">
        <v>46</v>
      </c>
      <c r="R31" s="46"/>
      <c r="S31" s="46">
        <v>1</v>
      </c>
      <c r="T31" s="15">
        <f t="shared" si="1"/>
        <v>80.11</v>
      </c>
      <c r="U31" s="15"/>
      <c r="V31" s="15"/>
      <c r="W31" s="15">
        <f t="shared" si="9"/>
        <v>106.7975</v>
      </c>
      <c r="X31" s="15"/>
      <c r="Y31" s="5">
        <v>81.25</v>
      </c>
      <c r="Z31" s="49">
        <f t="shared" si="4"/>
        <v>6508.9375</v>
      </c>
      <c r="AA31" s="49">
        <f t="shared" si="5"/>
        <v>0</v>
      </c>
      <c r="AB31" s="49">
        <f t="shared" si="6"/>
        <v>0</v>
      </c>
      <c r="AC31" s="49">
        <f t="shared" si="7"/>
        <v>8677.296875</v>
      </c>
      <c r="AD31" s="49">
        <f t="shared" si="8"/>
        <v>0</v>
      </c>
      <c r="AE31" s="52" t="s">
        <v>1623</v>
      </c>
    </row>
    <row r="32" ht="18" customHeight="1" spans="2:32">
      <c r="B32" s="46">
        <f t="shared" si="10"/>
        <v>28</v>
      </c>
      <c r="C32" s="46" t="s">
        <v>403</v>
      </c>
      <c r="D32" s="5" t="s">
        <v>410</v>
      </c>
      <c r="E32" s="47" t="s">
        <v>1658</v>
      </c>
      <c r="F32" s="46" t="s">
        <v>39</v>
      </c>
      <c r="G32" s="46" t="s">
        <v>1625</v>
      </c>
      <c r="H32" s="47" t="s">
        <v>557</v>
      </c>
      <c r="I32" s="46" t="s">
        <v>562</v>
      </c>
      <c r="J32" s="46">
        <v>1</v>
      </c>
      <c r="K32" s="15">
        <v>2.86</v>
      </c>
      <c r="L32" s="46">
        <v>4</v>
      </c>
      <c r="M32" s="60">
        <v>16.2666666666667</v>
      </c>
      <c r="N32" s="48" t="s">
        <v>46</v>
      </c>
      <c r="O32" s="48" t="s">
        <v>46</v>
      </c>
      <c r="P32" s="48">
        <v>21.96</v>
      </c>
      <c r="Q32" s="46" t="s">
        <v>46</v>
      </c>
      <c r="R32" s="46"/>
      <c r="S32" s="46">
        <v>1</v>
      </c>
      <c r="T32" s="15">
        <f t="shared" si="1"/>
        <v>24.1266666666667</v>
      </c>
      <c r="U32" s="15"/>
      <c r="V32" s="15"/>
      <c r="W32" s="15">
        <f t="shared" si="9"/>
        <v>29.82</v>
      </c>
      <c r="X32" s="15"/>
      <c r="Y32" s="5">
        <v>81.25</v>
      </c>
      <c r="Z32" s="49">
        <f t="shared" si="4"/>
        <v>1960.29166666667</v>
      </c>
      <c r="AA32" s="49">
        <f t="shared" si="5"/>
        <v>0</v>
      </c>
      <c r="AB32" s="49">
        <f t="shared" si="6"/>
        <v>0</v>
      </c>
      <c r="AC32" s="49">
        <f t="shared" si="7"/>
        <v>2422.875</v>
      </c>
      <c r="AD32" s="49">
        <f t="shared" si="8"/>
        <v>0</v>
      </c>
      <c r="AE32" s="56" t="s">
        <v>1659</v>
      </c>
      <c r="AF32" s="64" t="s">
        <v>1660</v>
      </c>
    </row>
    <row r="33" ht="18" customHeight="1" spans="2:31">
      <c r="B33" s="46">
        <f t="shared" si="10"/>
        <v>29</v>
      </c>
      <c r="C33" s="46" t="s">
        <v>403</v>
      </c>
      <c r="D33" s="5" t="s">
        <v>410</v>
      </c>
      <c r="E33" s="47" t="s">
        <v>1658</v>
      </c>
      <c r="F33" s="46" t="s">
        <v>39</v>
      </c>
      <c r="G33" s="46" t="s">
        <v>1625</v>
      </c>
      <c r="H33" s="47" t="s">
        <v>1661</v>
      </c>
      <c r="I33" s="46" t="s">
        <v>562</v>
      </c>
      <c r="J33" s="46">
        <v>1</v>
      </c>
      <c r="K33" s="15">
        <v>2.86</v>
      </c>
      <c r="L33" s="46">
        <v>4</v>
      </c>
      <c r="M33" s="60">
        <v>3.37</v>
      </c>
      <c r="N33" s="48" t="s">
        <v>46</v>
      </c>
      <c r="O33" s="48" t="s">
        <v>46</v>
      </c>
      <c r="P33" s="48">
        <v>4.5495</v>
      </c>
      <c r="Q33" s="46" t="s">
        <v>46</v>
      </c>
      <c r="R33" s="46"/>
      <c r="S33" s="46">
        <v>1</v>
      </c>
      <c r="T33" s="15">
        <f t="shared" si="1"/>
        <v>11.23</v>
      </c>
      <c r="U33" s="15"/>
      <c r="V33" s="15"/>
      <c r="W33" s="15">
        <f t="shared" si="9"/>
        <v>12.4095</v>
      </c>
      <c r="X33" s="15"/>
      <c r="Y33" s="5">
        <v>81.25</v>
      </c>
      <c r="Z33" s="49">
        <f t="shared" si="4"/>
        <v>912.4375</v>
      </c>
      <c r="AA33" s="49">
        <f t="shared" si="5"/>
        <v>0</v>
      </c>
      <c r="AB33" s="49">
        <f t="shared" si="6"/>
        <v>0</v>
      </c>
      <c r="AC33" s="49">
        <f t="shared" si="7"/>
        <v>1008.271875</v>
      </c>
      <c r="AD33" s="49">
        <f t="shared" si="8"/>
        <v>0</v>
      </c>
      <c r="AE33" s="56" t="s">
        <v>1659</v>
      </c>
    </row>
    <row r="34" ht="18" customHeight="1" spans="2:31">
      <c r="B34" s="46">
        <f t="shared" si="10"/>
        <v>30</v>
      </c>
      <c r="C34" s="46" t="s">
        <v>403</v>
      </c>
      <c r="D34" s="5" t="s">
        <v>410</v>
      </c>
      <c r="E34" s="47" t="s">
        <v>1658</v>
      </c>
      <c r="F34" s="46" t="s">
        <v>39</v>
      </c>
      <c r="G34" s="46" t="s">
        <v>1625</v>
      </c>
      <c r="H34" s="47" t="s">
        <v>1662</v>
      </c>
      <c r="I34" s="46" t="s">
        <v>562</v>
      </c>
      <c r="J34" s="46">
        <v>1</v>
      </c>
      <c r="K34" s="15">
        <v>2.86</v>
      </c>
      <c r="L34" s="46">
        <v>4</v>
      </c>
      <c r="M34" s="60">
        <v>19.0833333333333</v>
      </c>
      <c r="N34" s="48" t="s">
        <v>46</v>
      </c>
      <c r="O34" s="48" t="s">
        <v>46</v>
      </c>
      <c r="P34" s="48">
        <v>25.7625</v>
      </c>
      <c r="Q34" s="46" t="s">
        <v>46</v>
      </c>
      <c r="R34" s="46"/>
      <c r="S34" s="46">
        <v>1</v>
      </c>
      <c r="T34" s="15">
        <f t="shared" si="1"/>
        <v>26.9433333333333</v>
      </c>
      <c r="U34" s="15"/>
      <c r="V34" s="15"/>
      <c r="W34" s="15">
        <f t="shared" si="9"/>
        <v>33.6225</v>
      </c>
      <c r="X34" s="15"/>
      <c r="Y34" s="5">
        <v>81.25</v>
      </c>
      <c r="Z34" s="49">
        <f t="shared" si="4"/>
        <v>2189.14583333333</v>
      </c>
      <c r="AA34" s="49">
        <f t="shared" si="5"/>
        <v>0</v>
      </c>
      <c r="AB34" s="49">
        <f t="shared" si="6"/>
        <v>0</v>
      </c>
      <c r="AC34" s="49">
        <f t="shared" si="7"/>
        <v>2731.828125</v>
      </c>
      <c r="AD34" s="49">
        <f t="shared" si="8"/>
        <v>0</v>
      </c>
      <c r="AE34" s="56" t="s">
        <v>1659</v>
      </c>
    </row>
    <row r="35" ht="18" customHeight="1" spans="2:31">
      <c r="B35" s="46">
        <f t="shared" si="10"/>
        <v>31</v>
      </c>
      <c r="C35" s="46" t="s">
        <v>403</v>
      </c>
      <c r="D35" s="5" t="s">
        <v>410</v>
      </c>
      <c r="E35" s="47" t="s">
        <v>1663</v>
      </c>
      <c r="F35" s="46" t="s">
        <v>39</v>
      </c>
      <c r="G35" s="46" t="s">
        <v>1628</v>
      </c>
      <c r="H35" s="47" t="s">
        <v>1664</v>
      </c>
      <c r="I35" s="46" t="s">
        <v>722</v>
      </c>
      <c r="J35" s="47" t="s">
        <v>1665</v>
      </c>
      <c r="K35" s="15">
        <v>2.86</v>
      </c>
      <c r="L35" s="46">
        <v>4</v>
      </c>
      <c r="M35" s="48" t="s">
        <v>1665</v>
      </c>
      <c r="N35" s="48"/>
      <c r="O35" s="48"/>
      <c r="P35" s="48"/>
      <c r="Q35" s="46"/>
      <c r="R35" s="46"/>
      <c r="S35" s="46">
        <v>1</v>
      </c>
      <c r="T35" s="15" t="e">
        <f t="shared" si="1"/>
        <v>#VALUE!</v>
      </c>
      <c r="U35" s="15"/>
      <c r="V35" s="15"/>
      <c r="W35" s="15">
        <f t="shared" si="9"/>
        <v>7.86</v>
      </c>
      <c r="X35" s="15"/>
      <c r="Y35" s="5">
        <v>81.25</v>
      </c>
      <c r="Z35" s="49" t="e">
        <f t="shared" si="4"/>
        <v>#VALUE!</v>
      </c>
      <c r="AA35" s="49">
        <f t="shared" si="5"/>
        <v>0</v>
      </c>
      <c r="AB35" s="49">
        <f t="shared" si="6"/>
        <v>0</v>
      </c>
      <c r="AC35" s="49">
        <f t="shared" si="7"/>
        <v>638.625</v>
      </c>
      <c r="AD35" s="49">
        <f t="shared" si="8"/>
        <v>0</v>
      </c>
      <c r="AE35" s="5" t="s">
        <v>1666</v>
      </c>
    </row>
    <row r="36" ht="18" customHeight="1" spans="2:31">
      <c r="B36" s="46">
        <f t="shared" si="10"/>
        <v>32</v>
      </c>
      <c r="C36" s="46" t="s">
        <v>403</v>
      </c>
      <c r="D36" s="5" t="s">
        <v>660</v>
      </c>
      <c r="E36" s="47" t="s">
        <v>1650</v>
      </c>
      <c r="F36" s="46" t="s">
        <v>53</v>
      </c>
      <c r="G36" s="46" t="s">
        <v>53</v>
      </c>
      <c r="H36" s="47" t="s">
        <v>661</v>
      </c>
      <c r="I36" s="46" t="s">
        <v>413</v>
      </c>
      <c r="J36" s="46">
        <v>1</v>
      </c>
      <c r="K36" s="15">
        <v>2.86</v>
      </c>
      <c r="L36" s="46" t="s">
        <v>1621</v>
      </c>
      <c r="M36" s="48">
        <v>0.9</v>
      </c>
      <c r="N36" s="48" t="s">
        <v>46</v>
      </c>
      <c r="O36" s="48" t="s">
        <v>46</v>
      </c>
      <c r="P36" s="48">
        <v>1.215</v>
      </c>
      <c r="Q36" s="46" t="s">
        <v>46</v>
      </c>
      <c r="R36" s="46"/>
      <c r="S36" s="46">
        <v>1</v>
      </c>
      <c r="T36" s="15">
        <f t="shared" si="1"/>
        <v>4.76</v>
      </c>
      <c r="U36" s="15"/>
      <c r="V36" s="15"/>
      <c r="W36" s="15">
        <f t="shared" si="9"/>
        <v>5.075</v>
      </c>
      <c r="X36" s="15"/>
      <c r="Y36" s="5">
        <v>81.25</v>
      </c>
      <c r="Z36" s="49">
        <f t="shared" si="4"/>
        <v>386.75</v>
      </c>
      <c r="AA36" s="49">
        <f t="shared" si="5"/>
        <v>0</v>
      </c>
      <c r="AB36" s="49">
        <f t="shared" si="6"/>
        <v>0</v>
      </c>
      <c r="AC36" s="49">
        <f t="shared" si="7"/>
        <v>412.34375</v>
      </c>
      <c r="AD36" s="49">
        <f t="shared" si="8"/>
        <v>0</v>
      </c>
      <c r="AE36" s="52" t="s">
        <v>1623</v>
      </c>
    </row>
    <row r="37" ht="18" customHeight="1" spans="2:31">
      <c r="B37" s="46">
        <f t="shared" si="10"/>
        <v>33</v>
      </c>
      <c r="C37" s="46" t="s">
        <v>403</v>
      </c>
      <c r="D37" s="5" t="s">
        <v>660</v>
      </c>
      <c r="E37" s="47" t="s">
        <v>1652</v>
      </c>
      <c r="F37" s="46" t="s">
        <v>53</v>
      </c>
      <c r="G37" s="46" t="s">
        <v>53</v>
      </c>
      <c r="H37" s="47" t="s">
        <v>429</v>
      </c>
      <c r="I37" s="46" t="s">
        <v>413</v>
      </c>
      <c r="J37" s="46">
        <v>1</v>
      </c>
      <c r="K37" s="15">
        <v>2.86</v>
      </c>
      <c r="L37" s="46" t="s">
        <v>1621</v>
      </c>
      <c r="M37" s="48">
        <v>0.78</v>
      </c>
      <c r="N37" s="48" t="s">
        <v>46</v>
      </c>
      <c r="O37" s="48" t="s">
        <v>46</v>
      </c>
      <c r="P37" s="48">
        <v>1.053</v>
      </c>
      <c r="Q37" s="46" t="s">
        <v>46</v>
      </c>
      <c r="R37" s="46"/>
      <c r="S37" s="46">
        <v>1</v>
      </c>
      <c r="T37" s="15">
        <f t="shared" si="1"/>
        <v>4.64</v>
      </c>
      <c r="U37" s="15"/>
      <c r="V37" s="15"/>
      <c r="W37" s="15">
        <f t="shared" si="9"/>
        <v>4.913</v>
      </c>
      <c r="X37" s="15"/>
      <c r="Y37" s="5">
        <v>81.25</v>
      </c>
      <c r="Z37" s="49">
        <f t="shared" si="4"/>
        <v>377</v>
      </c>
      <c r="AA37" s="49">
        <f t="shared" si="5"/>
        <v>0</v>
      </c>
      <c r="AB37" s="49">
        <f t="shared" si="6"/>
        <v>0</v>
      </c>
      <c r="AC37" s="49">
        <f t="shared" si="7"/>
        <v>399.18125</v>
      </c>
      <c r="AD37" s="49">
        <f t="shared" si="8"/>
        <v>0</v>
      </c>
      <c r="AE37" s="52" t="s">
        <v>1623</v>
      </c>
    </row>
    <row r="38" ht="18" customHeight="1" spans="2:31">
      <c r="B38" s="46">
        <f t="shared" si="10"/>
        <v>34</v>
      </c>
      <c r="C38" s="46" t="s">
        <v>403</v>
      </c>
      <c r="D38" s="5" t="s">
        <v>660</v>
      </c>
      <c r="E38" s="47" t="s">
        <v>1653</v>
      </c>
      <c r="F38" s="46" t="s">
        <v>53</v>
      </c>
      <c r="G38" s="46" t="s">
        <v>53</v>
      </c>
      <c r="H38" s="47" t="s">
        <v>1654</v>
      </c>
      <c r="I38" s="46" t="s">
        <v>413</v>
      </c>
      <c r="J38" s="46">
        <v>1</v>
      </c>
      <c r="K38" s="15">
        <v>2.86</v>
      </c>
      <c r="L38" s="46" t="s">
        <v>1621</v>
      </c>
      <c r="M38" s="48">
        <v>0.9</v>
      </c>
      <c r="N38" s="48" t="s">
        <v>46</v>
      </c>
      <c r="O38" s="48" t="s">
        <v>46</v>
      </c>
      <c r="P38" s="48">
        <v>1.215</v>
      </c>
      <c r="Q38" s="46" t="s">
        <v>46</v>
      </c>
      <c r="R38" s="46"/>
      <c r="S38" s="46">
        <v>1</v>
      </c>
      <c r="T38" s="15">
        <f t="shared" si="1"/>
        <v>4.76</v>
      </c>
      <c r="U38" s="15"/>
      <c r="V38" s="15"/>
      <c r="W38" s="15">
        <f t="shared" si="9"/>
        <v>5.075</v>
      </c>
      <c r="X38" s="15"/>
      <c r="Y38" s="5">
        <v>81.25</v>
      </c>
      <c r="Z38" s="49">
        <f t="shared" si="4"/>
        <v>386.75</v>
      </c>
      <c r="AA38" s="49">
        <f t="shared" si="5"/>
        <v>0</v>
      </c>
      <c r="AB38" s="49">
        <f t="shared" si="6"/>
        <v>0</v>
      </c>
      <c r="AC38" s="49">
        <f t="shared" si="7"/>
        <v>412.34375</v>
      </c>
      <c r="AD38" s="49">
        <f t="shared" si="8"/>
        <v>0</v>
      </c>
      <c r="AE38" s="52" t="s">
        <v>1623</v>
      </c>
    </row>
    <row r="39" ht="18" customHeight="1" spans="2:31">
      <c r="B39" s="46">
        <f t="shared" si="10"/>
        <v>35</v>
      </c>
      <c r="C39" s="46" t="s">
        <v>403</v>
      </c>
      <c r="D39" s="5" t="s">
        <v>660</v>
      </c>
      <c r="E39" s="47" t="s">
        <v>1655</v>
      </c>
      <c r="F39" s="46" t="s">
        <v>53</v>
      </c>
      <c r="G39" s="46" t="s">
        <v>53</v>
      </c>
      <c r="H39" s="47" t="s">
        <v>516</v>
      </c>
      <c r="I39" s="46" t="s">
        <v>413</v>
      </c>
      <c r="J39" s="46">
        <v>1</v>
      </c>
      <c r="K39" s="15">
        <v>2.86</v>
      </c>
      <c r="L39" s="46" t="s">
        <v>1621</v>
      </c>
      <c r="M39" s="48">
        <v>0.4</v>
      </c>
      <c r="N39" s="48" t="s">
        <v>46</v>
      </c>
      <c r="O39" s="48" t="s">
        <v>46</v>
      </c>
      <c r="P39" s="48">
        <v>0.54</v>
      </c>
      <c r="Q39" s="46" t="s">
        <v>46</v>
      </c>
      <c r="R39" s="46"/>
      <c r="S39" s="46">
        <v>1</v>
      </c>
      <c r="T39" s="15">
        <f t="shared" si="1"/>
        <v>4.26</v>
      </c>
      <c r="U39" s="15"/>
      <c r="V39" s="15"/>
      <c r="W39" s="15">
        <f t="shared" si="9"/>
        <v>4.4</v>
      </c>
      <c r="X39" s="15"/>
      <c r="Y39" s="5">
        <v>81.25</v>
      </c>
      <c r="Z39" s="49">
        <f t="shared" si="4"/>
        <v>346.125</v>
      </c>
      <c r="AA39" s="49">
        <f t="shared" si="5"/>
        <v>0</v>
      </c>
      <c r="AB39" s="49">
        <f t="shared" si="6"/>
        <v>0</v>
      </c>
      <c r="AC39" s="49">
        <f t="shared" si="7"/>
        <v>357.5</v>
      </c>
      <c r="AD39" s="49">
        <f t="shared" si="8"/>
        <v>0</v>
      </c>
      <c r="AE39" s="52" t="s">
        <v>1623</v>
      </c>
    </row>
    <row r="40" ht="18" customHeight="1" spans="2:31">
      <c r="B40" s="46">
        <f t="shared" si="10"/>
        <v>36</v>
      </c>
      <c r="C40" s="46" t="s">
        <v>403</v>
      </c>
      <c r="D40" s="5" t="s">
        <v>660</v>
      </c>
      <c r="E40" s="47" t="s">
        <v>1656</v>
      </c>
      <c r="F40" s="46" t="s">
        <v>53</v>
      </c>
      <c r="G40" s="46" t="s">
        <v>53</v>
      </c>
      <c r="H40" s="47" t="s">
        <v>778</v>
      </c>
      <c r="I40" s="46" t="s">
        <v>413</v>
      </c>
      <c r="J40" s="46">
        <v>1</v>
      </c>
      <c r="K40" s="15">
        <v>2.86</v>
      </c>
      <c r="L40" s="46" t="s">
        <v>1621</v>
      </c>
      <c r="M40" s="48">
        <v>0.46</v>
      </c>
      <c r="N40" s="48" t="s">
        <v>46</v>
      </c>
      <c r="O40" s="48" t="s">
        <v>46</v>
      </c>
      <c r="P40" s="48">
        <v>0.621</v>
      </c>
      <c r="Q40" s="46" t="s">
        <v>46</v>
      </c>
      <c r="R40" s="46"/>
      <c r="S40" s="46">
        <v>1</v>
      </c>
      <c r="T40" s="15">
        <f t="shared" si="1"/>
        <v>4.32</v>
      </c>
      <c r="U40" s="15"/>
      <c r="V40" s="15"/>
      <c r="W40" s="15">
        <f t="shared" si="9"/>
        <v>4.481</v>
      </c>
      <c r="X40" s="15"/>
      <c r="Y40" s="5">
        <v>81.25</v>
      </c>
      <c r="Z40" s="49">
        <f t="shared" si="4"/>
        <v>351</v>
      </c>
      <c r="AA40" s="49">
        <f t="shared" si="5"/>
        <v>0</v>
      </c>
      <c r="AB40" s="49">
        <f t="shared" si="6"/>
        <v>0</v>
      </c>
      <c r="AC40" s="49">
        <f t="shared" si="7"/>
        <v>364.08125</v>
      </c>
      <c r="AD40" s="49">
        <f t="shared" si="8"/>
        <v>0</v>
      </c>
      <c r="AE40" s="52" t="s">
        <v>1623</v>
      </c>
    </row>
    <row r="41" ht="18" customHeight="1" spans="2:31">
      <c r="B41" s="46">
        <f t="shared" si="10"/>
        <v>37</v>
      </c>
      <c r="C41" s="46" t="s">
        <v>403</v>
      </c>
      <c r="D41" s="5" t="s">
        <v>660</v>
      </c>
      <c r="E41" s="47" t="s">
        <v>1657</v>
      </c>
      <c r="F41" s="46" t="s">
        <v>53</v>
      </c>
      <c r="G41" s="46" t="s">
        <v>53</v>
      </c>
      <c r="H41" s="47" t="s">
        <v>789</v>
      </c>
      <c r="I41" s="46" t="s">
        <v>409</v>
      </c>
      <c r="J41" s="46">
        <v>1</v>
      </c>
      <c r="K41" s="15">
        <v>2.86</v>
      </c>
      <c r="L41" s="46" t="s">
        <v>1621</v>
      </c>
      <c r="M41" s="48">
        <v>76.25</v>
      </c>
      <c r="N41" s="48" t="s">
        <v>46</v>
      </c>
      <c r="O41" s="48" t="s">
        <v>46</v>
      </c>
      <c r="P41" s="48">
        <v>102.9375</v>
      </c>
      <c r="Q41" s="46" t="s">
        <v>46</v>
      </c>
      <c r="R41" s="46"/>
      <c r="S41" s="46">
        <v>1</v>
      </c>
      <c r="T41" s="15">
        <f t="shared" si="1"/>
        <v>80.11</v>
      </c>
      <c r="U41" s="15"/>
      <c r="V41" s="15"/>
      <c r="W41" s="15">
        <f t="shared" si="9"/>
        <v>106.7975</v>
      </c>
      <c r="X41" s="15"/>
      <c r="Y41" s="5">
        <v>81.25</v>
      </c>
      <c r="Z41" s="49">
        <f t="shared" si="4"/>
        <v>6508.9375</v>
      </c>
      <c r="AA41" s="49">
        <f t="shared" si="5"/>
        <v>0</v>
      </c>
      <c r="AB41" s="49">
        <f t="shared" si="6"/>
        <v>0</v>
      </c>
      <c r="AC41" s="49">
        <f t="shared" si="7"/>
        <v>8677.296875</v>
      </c>
      <c r="AD41" s="49">
        <f t="shared" si="8"/>
        <v>0</v>
      </c>
      <c r="AE41" s="52" t="s">
        <v>1623</v>
      </c>
    </row>
    <row r="42" ht="18" customHeight="1" spans="2:31">
      <c r="B42" s="46">
        <f t="shared" si="10"/>
        <v>38</v>
      </c>
      <c r="C42" s="46" t="s">
        <v>403</v>
      </c>
      <c r="D42" s="5" t="s">
        <v>660</v>
      </c>
      <c r="E42" s="47" t="s">
        <v>1658</v>
      </c>
      <c r="F42" s="46" t="s">
        <v>39</v>
      </c>
      <c r="G42" s="46" t="s">
        <v>1625</v>
      </c>
      <c r="H42" s="47" t="s">
        <v>789</v>
      </c>
      <c r="I42" s="46" t="s">
        <v>562</v>
      </c>
      <c r="J42" s="46">
        <v>1</v>
      </c>
      <c r="K42" s="15">
        <v>2.86</v>
      </c>
      <c r="L42" s="46">
        <v>4</v>
      </c>
      <c r="M42" s="60">
        <v>16.6</v>
      </c>
      <c r="N42" s="48" t="s">
        <v>46</v>
      </c>
      <c r="O42" s="48" t="s">
        <v>46</v>
      </c>
      <c r="P42" s="48">
        <v>22.41</v>
      </c>
      <c r="Q42" s="46" t="s">
        <v>46</v>
      </c>
      <c r="R42" s="46"/>
      <c r="S42" s="46">
        <v>1</v>
      </c>
      <c r="T42" s="15">
        <f t="shared" si="1"/>
        <v>24.46</v>
      </c>
      <c r="U42" s="15"/>
      <c r="V42" s="15"/>
      <c r="W42" s="15">
        <f t="shared" si="9"/>
        <v>30.27</v>
      </c>
      <c r="X42" s="15"/>
      <c r="Y42" s="5">
        <v>81.25</v>
      </c>
      <c r="Z42" s="49">
        <f t="shared" si="4"/>
        <v>1987.375</v>
      </c>
      <c r="AA42" s="49">
        <f t="shared" si="5"/>
        <v>0</v>
      </c>
      <c r="AB42" s="49">
        <f t="shared" si="6"/>
        <v>0</v>
      </c>
      <c r="AC42" s="49">
        <f t="shared" si="7"/>
        <v>2459.4375</v>
      </c>
      <c r="AD42" s="49">
        <f t="shared" si="8"/>
        <v>0</v>
      </c>
      <c r="AE42" s="56" t="s">
        <v>1659</v>
      </c>
    </row>
    <row r="43" ht="18" customHeight="1" spans="2:31">
      <c r="B43" s="46">
        <f t="shared" si="10"/>
        <v>39</v>
      </c>
      <c r="C43" s="46" t="s">
        <v>403</v>
      </c>
      <c r="D43" s="5" t="s">
        <v>660</v>
      </c>
      <c r="E43" s="47" t="s">
        <v>1658</v>
      </c>
      <c r="F43" s="46" t="s">
        <v>39</v>
      </c>
      <c r="G43" s="46" t="s">
        <v>1625</v>
      </c>
      <c r="H43" s="47" t="s">
        <v>1661</v>
      </c>
      <c r="I43" s="46" t="s">
        <v>562</v>
      </c>
      <c r="J43" s="46">
        <v>1</v>
      </c>
      <c r="K43" s="15">
        <v>2.86</v>
      </c>
      <c r="L43" s="46">
        <v>4</v>
      </c>
      <c r="M43" s="60">
        <v>8.675</v>
      </c>
      <c r="N43" s="48" t="s">
        <v>46</v>
      </c>
      <c r="O43" s="48" t="s">
        <v>46</v>
      </c>
      <c r="P43" s="48">
        <v>11.71125</v>
      </c>
      <c r="Q43" s="46" t="s">
        <v>46</v>
      </c>
      <c r="R43" s="46"/>
      <c r="S43" s="46">
        <v>1</v>
      </c>
      <c r="T43" s="15">
        <f t="shared" si="1"/>
        <v>16.535</v>
      </c>
      <c r="U43" s="15"/>
      <c r="V43" s="15"/>
      <c r="W43" s="15">
        <f t="shared" si="9"/>
        <v>19.57125</v>
      </c>
      <c r="X43" s="15"/>
      <c r="Y43" s="5">
        <v>81.25</v>
      </c>
      <c r="Z43" s="49">
        <f t="shared" si="4"/>
        <v>1343.46875</v>
      </c>
      <c r="AA43" s="49">
        <f t="shared" si="5"/>
        <v>0</v>
      </c>
      <c r="AB43" s="49">
        <f t="shared" si="6"/>
        <v>0</v>
      </c>
      <c r="AC43" s="49">
        <f t="shared" si="7"/>
        <v>1590.1640625</v>
      </c>
      <c r="AD43" s="49">
        <f t="shared" si="8"/>
        <v>0</v>
      </c>
      <c r="AE43" s="56" t="s">
        <v>1659</v>
      </c>
    </row>
    <row r="44" ht="18" customHeight="1" spans="2:31">
      <c r="B44" s="46">
        <f t="shared" si="10"/>
        <v>40</v>
      </c>
      <c r="C44" s="46" t="s">
        <v>403</v>
      </c>
      <c r="D44" s="5" t="s">
        <v>660</v>
      </c>
      <c r="E44" s="47" t="s">
        <v>1658</v>
      </c>
      <c r="F44" s="46" t="s">
        <v>39</v>
      </c>
      <c r="G44" s="46" t="s">
        <v>1625</v>
      </c>
      <c r="H44" s="47" t="s">
        <v>1662</v>
      </c>
      <c r="I44" s="46" t="s">
        <v>562</v>
      </c>
      <c r="J44" s="46">
        <v>1</v>
      </c>
      <c r="K44" s="15">
        <v>2.86</v>
      </c>
      <c r="L44" s="46">
        <v>4</v>
      </c>
      <c r="M44" s="60">
        <v>19.0833333333333</v>
      </c>
      <c r="N44" s="48" t="s">
        <v>46</v>
      </c>
      <c r="O44" s="48" t="s">
        <v>46</v>
      </c>
      <c r="P44" s="48">
        <v>25.7625</v>
      </c>
      <c r="Q44" s="46" t="s">
        <v>46</v>
      </c>
      <c r="R44" s="46"/>
      <c r="S44" s="46">
        <v>1</v>
      </c>
      <c r="T44" s="15">
        <f t="shared" si="1"/>
        <v>26.9433333333333</v>
      </c>
      <c r="U44" s="15"/>
      <c r="V44" s="15"/>
      <c r="W44" s="15">
        <f t="shared" si="9"/>
        <v>33.6225</v>
      </c>
      <c r="X44" s="15"/>
      <c r="Y44" s="5">
        <v>81.25</v>
      </c>
      <c r="Z44" s="49">
        <f t="shared" si="4"/>
        <v>2189.14583333333</v>
      </c>
      <c r="AA44" s="49">
        <f t="shared" si="5"/>
        <v>0</v>
      </c>
      <c r="AB44" s="49">
        <f t="shared" si="6"/>
        <v>0</v>
      </c>
      <c r="AC44" s="49">
        <f t="shared" si="7"/>
        <v>2731.828125</v>
      </c>
      <c r="AD44" s="49">
        <f t="shared" si="8"/>
        <v>0</v>
      </c>
      <c r="AE44" s="56" t="s">
        <v>1659</v>
      </c>
    </row>
    <row r="45" ht="18" customHeight="1" spans="2:31">
      <c r="B45" s="46">
        <f t="shared" si="10"/>
        <v>41</v>
      </c>
      <c r="C45" s="46" t="s">
        <v>403</v>
      </c>
      <c r="D45" s="5" t="s">
        <v>660</v>
      </c>
      <c r="E45" s="47" t="s">
        <v>1663</v>
      </c>
      <c r="F45" s="46" t="s">
        <v>39</v>
      </c>
      <c r="G45" s="46" t="s">
        <v>1628</v>
      </c>
      <c r="H45" s="47" t="s">
        <v>1664</v>
      </c>
      <c r="I45" s="46" t="s">
        <v>722</v>
      </c>
      <c r="J45" s="47" t="s">
        <v>1665</v>
      </c>
      <c r="K45" s="15">
        <v>2.86</v>
      </c>
      <c r="L45" s="46">
        <v>4</v>
      </c>
      <c r="M45" s="48" t="s">
        <v>1665</v>
      </c>
      <c r="N45" s="48"/>
      <c r="O45" s="48"/>
      <c r="P45" s="48"/>
      <c r="Q45" s="46"/>
      <c r="R45" s="46"/>
      <c r="S45" s="46">
        <v>1</v>
      </c>
      <c r="T45" s="15" t="e">
        <f t="shared" si="1"/>
        <v>#VALUE!</v>
      </c>
      <c r="U45" s="15"/>
      <c r="V45" s="15"/>
      <c r="W45" s="15">
        <f t="shared" si="9"/>
        <v>7.86</v>
      </c>
      <c r="X45" s="15"/>
      <c r="Y45" s="5">
        <v>81.25</v>
      </c>
      <c r="Z45" s="49" t="e">
        <f t="shared" si="4"/>
        <v>#VALUE!</v>
      </c>
      <c r="AA45" s="49">
        <f t="shared" si="5"/>
        <v>0</v>
      </c>
      <c r="AB45" s="49">
        <f t="shared" si="6"/>
        <v>0</v>
      </c>
      <c r="AC45" s="49">
        <f t="shared" si="7"/>
        <v>638.625</v>
      </c>
      <c r="AD45" s="49">
        <f t="shared" si="8"/>
        <v>0</v>
      </c>
      <c r="AE45" s="5" t="s">
        <v>1666</v>
      </c>
    </row>
    <row r="49" customHeight="1" spans="5:11">
      <c r="E49" s="32" t="s">
        <v>1667</v>
      </c>
    </row>
    <row r="50" customHeight="1" spans="5:11">
      <c r="E50" s="32" t="s">
        <v>1668</v>
      </c>
    </row>
    <row r="51" customHeight="1" spans="5:11">
      <c r="E51" s="32" t="s">
        <v>1669</v>
      </c>
    </row>
    <row r="52" customHeight="1" spans="5:11">
      <c r="E52" s="32" t="s">
        <v>1670</v>
      </c>
      <c r="K52" s="65">
        <f>M15*30/8</f>
        <v>23.0625</v>
      </c>
    </row>
    <row r="53" customHeight="1" spans="5:11">
      <c r="E53" s="32" t="s">
        <v>1671</v>
      </c>
    </row>
    <row r="54" customHeight="1" spans="5:11">
      <c r="E54" s="32" t="s">
        <v>1672</v>
      </c>
    </row>
    <row r="55" customHeight="1" spans="5:11">
      <c r="E55" s="32" t="s">
        <v>1673</v>
      </c>
    </row>
    <row r="56" customHeight="1" spans="5:11">
      <c r="E56" s="32" t="s">
        <v>1674</v>
      </c>
    </row>
    <row r="57" customHeight="1" spans="5:11">
      <c r="E57" s="65"/>
    </row>
    <row r="58" customHeight="1" spans="5:11">
      <c r="E58" s="32" t="s">
        <v>1675</v>
      </c>
    </row>
    <row r="59" customHeight="1" spans="5:11">
      <c r="E59" s="32" t="s">
        <v>1676</v>
      </c>
    </row>
    <row r="60" customHeight="1" spans="5:11">
      <c r="E60" s="65"/>
    </row>
    <row r="61" customHeight="1" spans="5:11">
      <c r="E61" s="65"/>
    </row>
    <row r="62" customHeight="1" spans="5:11">
      <c r="E62" s="65"/>
      <c r="F62" s="1" t="s">
        <v>1677</v>
      </c>
      <c r="G62" s="1" t="s">
        <v>1678</v>
      </c>
      <c r="H62" s="64" t="s">
        <v>1679</v>
      </c>
    </row>
    <row r="63" customHeight="1" spans="5:11">
      <c r="E63" s="32" t="s">
        <v>1680</v>
      </c>
      <c r="G63" s="1">
        <v>1</v>
      </c>
    </row>
    <row r="64" customHeight="1" spans="5:11">
      <c r="E64" s="32" t="s">
        <v>1681</v>
      </c>
      <c r="G64" s="1">
        <v>1</v>
      </c>
    </row>
    <row r="65" customHeight="1" spans="5:8">
      <c r="E65" s="32" t="s">
        <v>1682</v>
      </c>
      <c r="G65" s="1">
        <v>3</v>
      </c>
    </row>
    <row r="66" customHeight="1" spans="5:8">
      <c r="E66" s="32" t="s">
        <v>1683</v>
      </c>
      <c r="G66" s="1">
        <v>5</v>
      </c>
    </row>
    <row r="68" customHeight="1" spans="5:8">
      <c r="E68" s="32" t="s">
        <v>1684</v>
      </c>
    </row>
    <row r="69" customHeight="1" spans="5:8">
      <c r="E69" s="65"/>
    </row>
    <row r="70" customHeight="1" spans="5:8">
      <c r="H70" s="64">
        <v>28</v>
      </c>
    </row>
    <row r="71" customHeight="1" spans="5:8">
      <c r="E71" s="32" t="s">
        <v>1685</v>
      </c>
    </row>
    <row r="73" customHeight="1" spans="5:8">
      <c r="E73" s="32" t="s">
        <v>1686</v>
      </c>
    </row>
    <row r="74" customHeight="1" spans="5:8">
      <c r="E74" s="65"/>
    </row>
  </sheetData>
  <mergeCells count="15">
    <mergeCell ref="C2:AE2"/>
    <mergeCell ref="F3:G3"/>
    <mergeCell ref="M3:Q3"/>
    <mergeCell ref="T3:X3"/>
    <mergeCell ref="Z3:AD3"/>
    <mergeCell ref="B3:B4"/>
    <mergeCell ref="C3:C4"/>
    <mergeCell ref="D3:D4"/>
    <mergeCell ref="E3:E4"/>
    <mergeCell ref="H3:H4"/>
    <mergeCell ref="I3:I4"/>
    <mergeCell ref="J3:J4"/>
    <mergeCell ref="K3:K4"/>
    <mergeCell ref="L3:L4"/>
    <mergeCell ref="AE3:AE4"/>
  </mergeCells>
  <dataValidations count="4">
    <dataValidation type="list" sqref="C5:C45">
      <formula1>"户用分布式,地面-集中式,地面-组串式,储能"</formula1>
    </dataValidation>
    <dataValidation type="list" allowBlank="1" showErrorMessage="1" sqref="D26:D45" errorStyle="information">
      <formula1>"PT2.0HX,PT2.0UD"</formula1>
    </dataValidation>
    <dataValidation type="list" sqref="F5:F45">
      <formula1>"交付,运维,整改"</formula1>
    </dataValidation>
    <dataValidation type="list" allowBlank="1" showErrorMessage="1" sqref="G5:G45" errorStyle="information">
      <formula1>"交付,维修,巡检,整改"</formula1>
    </dataValidation>
  </dataValidation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H210"/>
  <sheetViews>
    <sheetView showGridLines="0" workbookViewId="0">
      <pane xSplit="1" ySplit="4" topLeftCell="B5" activePane="bottomRight" state="frozen"/>
      <selection/>
      <selection pane="topRight"/>
      <selection pane="bottomLeft"/>
      <selection pane="bottomRight" activeCell="A1" sqref="A1"/>
    </sheetView>
  </sheetViews>
  <sheetFormatPr defaultColWidth="10" defaultRowHeight="16.5" customHeight="1" outlineLevelCol="7"/>
  <cols>
    <col min="1" max="1" width="4" customWidth="1"/>
    <col min="2" max="2" width="14.7538461538462"/>
    <col min="3" max="3" width="14.4"/>
    <col min="4" max="4" width="18.7538461538462" customWidth="1"/>
    <col min="5" max="5" width="19.2461538461538" customWidth="1"/>
    <col min="6" max="6" width="62.5692307692308" customWidth="1"/>
    <col min="7" max="8" width="36.8692307692308" style="1"/>
  </cols>
  <sheetData>
    <row r="1" ht="17.25" customHeight="1" spans="2:8">
      <c r="B1" s="2"/>
    </row>
    <row r="2" customHeight="1" spans="2:8">
      <c r="B2" s="3" t="s">
        <v>9</v>
      </c>
    </row>
    <row r="3" ht="19.5" customHeight="1" spans="2:8">
      <c r="B3" s="4" t="s">
        <v>1687</v>
      </c>
      <c r="C3" s="5"/>
      <c r="D3" s="5"/>
    </row>
    <row r="4" ht="27.75" customHeight="1" spans="2:8">
      <c r="B4" s="6" t="s">
        <v>1688</v>
      </c>
      <c r="C4" s="6" t="s">
        <v>1689</v>
      </c>
      <c r="D4" s="6" t="s">
        <v>1690</v>
      </c>
      <c r="E4" s="7" t="s">
        <v>1691</v>
      </c>
      <c r="F4" s="8" t="s">
        <v>1692</v>
      </c>
      <c r="G4" s="9" t="s">
        <v>1693</v>
      </c>
      <c r="H4" s="10" t="s">
        <v>1694</v>
      </c>
    </row>
    <row r="5" customHeight="1" spans="2:8">
      <c r="B5" s="11" t="s">
        <v>1695</v>
      </c>
      <c r="C5" s="12" t="s">
        <v>1696</v>
      </c>
      <c r="D5" s="11" t="s">
        <v>1697</v>
      </c>
      <c r="E5" s="13">
        <v>9.5</v>
      </c>
      <c r="F5" s="14"/>
      <c r="G5" s="15" t="e">
        <f>'服务BOQ（含在途、入场、现场服务工时、离场交接）'!$T$35</f>
        <v>#VALUE!</v>
      </c>
      <c r="H5" s="16" t="e">
        <f t="shared" ref="H5:H68" si="0">G5+E5</f>
        <v>#VALUE!</v>
      </c>
    </row>
    <row r="6" customHeight="1" spans="2:8">
      <c r="B6" s="11" t="s">
        <v>1695</v>
      </c>
      <c r="C6" s="12" t="s">
        <v>1696</v>
      </c>
      <c r="D6" s="11" t="s">
        <v>1698</v>
      </c>
      <c r="E6" s="13">
        <v>1.7</v>
      </c>
      <c r="F6" s="14"/>
      <c r="G6" s="15" t="e">
        <f>'服务BOQ（含在途、入场、现场服务工时、离场交接）'!$T$35</f>
        <v>#VALUE!</v>
      </c>
      <c r="H6" s="16" t="e">
        <f t="shared" si="0"/>
        <v>#VALUE!</v>
      </c>
    </row>
    <row r="7" customHeight="1" spans="2:8">
      <c r="B7" s="11" t="s">
        <v>1695</v>
      </c>
      <c r="C7" s="12" t="s">
        <v>1696</v>
      </c>
      <c r="D7" s="11" t="s">
        <v>1699</v>
      </c>
      <c r="E7" s="13">
        <v>19</v>
      </c>
      <c r="F7" s="14"/>
      <c r="G7" s="15" t="e">
        <f>'服务BOQ（含在途、入场、现场服务工时、离场交接）'!$T$35</f>
        <v>#VALUE!</v>
      </c>
      <c r="H7" s="16" t="e">
        <f t="shared" si="0"/>
        <v>#VALUE!</v>
      </c>
    </row>
    <row r="8" customHeight="1" spans="2:8">
      <c r="B8" s="11" t="s">
        <v>1695</v>
      </c>
      <c r="C8" s="12" t="s">
        <v>1696</v>
      </c>
      <c r="D8" s="11" t="s">
        <v>1700</v>
      </c>
      <c r="E8" s="13">
        <v>3.5</v>
      </c>
      <c r="F8" s="14"/>
      <c r="G8" s="15" t="e">
        <f>'服务BOQ（含在途、入场、现场服务工时、离场交接）'!$T$35</f>
        <v>#VALUE!</v>
      </c>
      <c r="H8" s="16" t="e">
        <f t="shared" si="0"/>
        <v>#VALUE!</v>
      </c>
    </row>
    <row r="9" customHeight="1" spans="2:8">
      <c r="B9" s="11" t="s">
        <v>1695</v>
      </c>
      <c r="C9" s="12" t="s">
        <v>1696</v>
      </c>
      <c r="D9" s="11" t="s">
        <v>1701</v>
      </c>
      <c r="E9" s="13">
        <v>5.5</v>
      </c>
      <c r="F9" s="14"/>
      <c r="G9" s="15" t="e">
        <f>'服务BOQ（含在途、入场、现场服务工时、离场交接）'!$T$35</f>
        <v>#VALUE!</v>
      </c>
      <c r="H9" s="16" t="e">
        <f t="shared" si="0"/>
        <v>#VALUE!</v>
      </c>
    </row>
    <row r="10" customHeight="1" spans="2:8">
      <c r="B10" s="11" t="s">
        <v>1695</v>
      </c>
      <c r="C10" s="12" t="s">
        <v>1696</v>
      </c>
      <c r="D10" s="11" t="s">
        <v>722</v>
      </c>
      <c r="E10" s="13">
        <v>11.25</v>
      </c>
      <c r="F10" s="14"/>
      <c r="G10" s="15" t="e">
        <f>'服务BOQ（含在途、入场、现场服务工时、离场交接）'!$T$35</f>
        <v>#VALUE!</v>
      </c>
      <c r="H10" s="16" t="e">
        <f t="shared" si="0"/>
        <v>#VALUE!</v>
      </c>
    </row>
    <row r="11" customHeight="1" spans="2:8">
      <c r="B11" s="11" t="s">
        <v>1695</v>
      </c>
      <c r="C11" s="12" t="s">
        <v>1696</v>
      </c>
      <c r="D11" s="11" t="s">
        <v>1702</v>
      </c>
      <c r="E11" s="13">
        <v>1.25</v>
      </c>
      <c r="F11" s="14"/>
      <c r="G11" s="15" t="e">
        <f>'服务BOQ（含在途、入场、现场服务工时、离场交接）'!$T$35</f>
        <v>#VALUE!</v>
      </c>
      <c r="H11" s="16" t="e">
        <f t="shared" si="0"/>
        <v>#VALUE!</v>
      </c>
    </row>
    <row r="12" customHeight="1" spans="2:8">
      <c r="B12" s="11" t="s">
        <v>1695</v>
      </c>
      <c r="C12" s="12" t="s">
        <v>1696</v>
      </c>
      <c r="D12" s="11" t="s">
        <v>1703</v>
      </c>
      <c r="E12" s="13">
        <v>1.5</v>
      </c>
      <c r="F12" s="17" t="s">
        <v>1704</v>
      </c>
      <c r="G12" s="15" t="e">
        <f>'服务BOQ（含在途、入场、现场服务工时、离场交接）'!$T$35</f>
        <v>#VALUE!</v>
      </c>
      <c r="H12" s="16" t="e">
        <f t="shared" si="0"/>
        <v>#VALUE!</v>
      </c>
    </row>
    <row r="13" customHeight="1" spans="2:8">
      <c r="B13" s="11" t="s">
        <v>1695</v>
      </c>
      <c r="C13" s="12" t="s">
        <v>1696</v>
      </c>
      <c r="D13" s="11" t="s">
        <v>1705</v>
      </c>
      <c r="E13" s="13">
        <v>0.75</v>
      </c>
      <c r="F13" s="17" t="s">
        <v>1706</v>
      </c>
      <c r="G13" s="15" t="e">
        <f>'服务BOQ（含在途、入场、现场服务工时、离场交接）'!$T$35</f>
        <v>#VALUE!</v>
      </c>
      <c r="H13" s="16" t="e">
        <f t="shared" si="0"/>
        <v>#VALUE!</v>
      </c>
    </row>
    <row r="14" customHeight="1" spans="2:8">
      <c r="B14" s="11" t="s">
        <v>1695</v>
      </c>
      <c r="C14" s="12" t="s">
        <v>1696</v>
      </c>
      <c r="D14" s="11" t="s">
        <v>1707</v>
      </c>
      <c r="E14" s="13">
        <v>1.7</v>
      </c>
      <c r="F14" s="14"/>
      <c r="G14" s="15" t="e">
        <f>'服务BOQ（含在途、入场、现场服务工时、离场交接）'!$T$35</f>
        <v>#VALUE!</v>
      </c>
      <c r="H14" s="16" t="e">
        <f t="shared" si="0"/>
        <v>#VALUE!</v>
      </c>
    </row>
    <row r="15" customHeight="1" spans="2:8">
      <c r="B15" s="11" t="s">
        <v>1695</v>
      </c>
      <c r="C15" s="12" t="s">
        <v>1696</v>
      </c>
      <c r="D15" s="11" t="s">
        <v>1708</v>
      </c>
      <c r="E15" s="13">
        <v>1.7</v>
      </c>
      <c r="F15" s="14"/>
      <c r="G15" s="15" t="e">
        <f>'服务BOQ（含在途、入场、现场服务工时、离场交接）'!$T$35</f>
        <v>#VALUE!</v>
      </c>
      <c r="H15" s="16" t="e">
        <f t="shared" si="0"/>
        <v>#VALUE!</v>
      </c>
    </row>
    <row r="16" customHeight="1" spans="2:8">
      <c r="B16" s="11" t="s">
        <v>1695</v>
      </c>
      <c r="C16" s="12" t="s">
        <v>1696</v>
      </c>
      <c r="D16" s="11" t="s">
        <v>1709</v>
      </c>
      <c r="E16" s="13">
        <v>2.5</v>
      </c>
      <c r="F16" s="14"/>
      <c r="G16" s="15" t="e">
        <f>'服务BOQ（含在途、入场、现场服务工时、离场交接）'!$T$35</f>
        <v>#VALUE!</v>
      </c>
      <c r="H16" s="16" t="e">
        <f t="shared" si="0"/>
        <v>#VALUE!</v>
      </c>
    </row>
    <row r="17" customHeight="1" spans="2:8">
      <c r="B17" s="11" t="s">
        <v>1695</v>
      </c>
      <c r="C17" s="12" t="s">
        <v>1696</v>
      </c>
      <c r="D17" s="11" t="s">
        <v>1710</v>
      </c>
      <c r="E17" s="13">
        <v>2</v>
      </c>
      <c r="F17" s="14"/>
      <c r="G17" s="15" t="e">
        <f>'服务BOQ（含在途、入场、现场服务工时、离场交接）'!$T$35</f>
        <v>#VALUE!</v>
      </c>
      <c r="H17" s="16" t="e">
        <f t="shared" si="0"/>
        <v>#VALUE!</v>
      </c>
    </row>
    <row r="18" customHeight="1" spans="2:8">
      <c r="B18" s="11" t="s">
        <v>1695</v>
      </c>
      <c r="C18" s="12" t="s">
        <v>1696</v>
      </c>
      <c r="D18" s="11" t="s">
        <v>1711</v>
      </c>
      <c r="E18" s="13">
        <v>3.5</v>
      </c>
      <c r="F18" s="14"/>
      <c r="G18" s="15" t="e">
        <f>'服务BOQ（含在途、入场、现场服务工时、离场交接）'!$T$35</f>
        <v>#VALUE!</v>
      </c>
      <c r="H18" s="16" t="e">
        <f t="shared" si="0"/>
        <v>#VALUE!</v>
      </c>
    </row>
    <row r="19" customHeight="1" spans="2:8">
      <c r="B19" s="11" t="s">
        <v>1695</v>
      </c>
      <c r="C19" s="12" t="s">
        <v>1696</v>
      </c>
      <c r="D19" s="11" t="s">
        <v>1712</v>
      </c>
      <c r="E19" s="13">
        <v>2.5</v>
      </c>
      <c r="F19" s="14"/>
      <c r="G19" s="15" t="e">
        <f>'服务BOQ（含在途、入场、现场服务工时、离场交接）'!$T$35</f>
        <v>#VALUE!</v>
      </c>
      <c r="H19" s="16" t="e">
        <f t="shared" si="0"/>
        <v>#VALUE!</v>
      </c>
    </row>
    <row r="20" customHeight="1" spans="2:8">
      <c r="B20" s="11" t="s">
        <v>1695</v>
      </c>
      <c r="C20" s="12" t="s">
        <v>1696</v>
      </c>
      <c r="D20" s="11" t="s">
        <v>1713</v>
      </c>
      <c r="E20" s="13">
        <v>1.25</v>
      </c>
      <c r="F20" s="14"/>
      <c r="G20" s="15" t="e">
        <f>'服务BOQ（含在途、入场、现场服务工时、离场交接）'!$T$35</f>
        <v>#VALUE!</v>
      </c>
      <c r="H20" s="16" t="e">
        <f t="shared" si="0"/>
        <v>#VALUE!</v>
      </c>
    </row>
    <row r="21" customHeight="1" spans="2:8">
      <c r="B21" s="11" t="s">
        <v>1695</v>
      </c>
      <c r="C21" s="12" t="s">
        <v>1696</v>
      </c>
      <c r="D21" s="11" t="s">
        <v>1714</v>
      </c>
      <c r="E21" s="13">
        <v>46.5</v>
      </c>
      <c r="F21" s="14"/>
      <c r="G21" s="15" t="e">
        <f>'服务BOQ（含在途、入场、现场服务工时、离场交接）'!$T$35</f>
        <v>#VALUE!</v>
      </c>
      <c r="H21" s="16" t="e">
        <f t="shared" si="0"/>
        <v>#VALUE!</v>
      </c>
    </row>
    <row r="22" customHeight="1" spans="2:8">
      <c r="B22" s="11" t="s">
        <v>1695</v>
      </c>
      <c r="C22" s="12" t="s">
        <v>1696</v>
      </c>
      <c r="D22" s="11" t="s">
        <v>1715</v>
      </c>
      <c r="E22" s="13">
        <v>31</v>
      </c>
      <c r="F22" s="14"/>
      <c r="G22" s="15" t="e">
        <f>'服务BOQ（含在途、入场、现场服务工时、离场交接）'!$T$35</f>
        <v>#VALUE!</v>
      </c>
      <c r="H22" s="16" t="e">
        <f t="shared" si="0"/>
        <v>#VALUE!</v>
      </c>
    </row>
    <row r="23" customHeight="1" spans="2:8">
      <c r="B23" s="11" t="s">
        <v>1695</v>
      </c>
      <c r="C23" s="12" t="s">
        <v>1696</v>
      </c>
      <c r="D23" s="11" t="s">
        <v>1716</v>
      </c>
      <c r="E23" s="13">
        <v>1.5</v>
      </c>
      <c r="F23" s="17"/>
      <c r="G23" s="15" t="e">
        <f>'服务BOQ（含在途、入场、现场服务工时、离场交接）'!$T$35</f>
        <v>#VALUE!</v>
      </c>
      <c r="H23" s="16" t="e">
        <f t="shared" si="0"/>
        <v>#VALUE!</v>
      </c>
    </row>
    <row r="24" customHeight="1" spans="2:8">
      <c r="B24" s="11" t="s">
        <v>1695</v>
      </c>
      <c r="C24" s="12" t="s">
        <v>1696</v>
      </c>
      <c r="D24" s="11" t="s">
        <v>1717</v>
      </c>
      <c r="E24" s="13">
        <v>1</v>
      </c>
      <c r="F24" s="17"/>
      <c r="G24" s="15" t="e">
        <f>'服务BOQ（含在途、入场、现场服务工时、离场交接）'!$T$35</f>
        <v>#VALUE!</v>
      </c>
      <c r="H24" s="16" t="e">
        <f t="shared" si="0"/>
        <v>#VALUE!</v>
      </c>
    </row>
    <row r="25" customHeight="1" spans="2:8">
      <c r="B25" s="11" t="s">
        <v>1695</v>
      </c>
      <c r="C25" s="12" t="s">
        <v>1696</v>
      </c>
      <c r="D25" s="11" t="s">
        <v>1718</v>
      </c>
      <c r="E25" s="13">
        <v>1.25</v>
      </c>
      <c r="F25" s="17"/>
      <c r="G25" s="15" t="e">
        <f>'服务BOQ（含在途、入场、现场服务工时、离场交接）'!$T$35</f>
        <v>#VALUE!</v>
      </c>
      <c r="H25" s="16" t="e">
        <f t="shared" si="0"/>
        <v>#VALUE!</v>
      </c>
    </row>
    <row r="26" customHeight="1" spans="2:8">
      <c r="B26" s="11" t="s">
        <v>1695</v>
      </c>
      <c r="C26" s="12" t="s">
        <v>1696</v>
      </c>
      <c r="D26" s="11" t="s">
        <v>1719</v>
      </c>
      <c r="E26" s="13">
        <v>1.25</v>
      </c>
      <c r="F26" s="17"/>
      <c r="G26" s="15" t="e">
        <f>'服务BOQ（含在途、入场、现场服务工时、离场交接）'!$T$35</f>
        <v>#VALUE!</v>
      </c>
      <c r="H26" s="16" t="e">
        <f t="shared" si="0"/>
        <v>#VALUE!</v>
      </c>
    </row>
    <row r="27" customHeight="1" spans="2:8">
      <c r="B27" s="11" t="s">
        <v>1695</v>
      </c>
      <c r="C27" s="12" t="s">
        <v>1696</v>
      </c>
      <c r="D27" s="11" t="s">
        <v>1720</v>
      </c>
      <c r="E27" s="13">
        <v>1.5</v>
      </c>
      <c r="F27" s="17"/>
      <c r="G27" s="15" t="e">
        <f>'服务BOQ（含在途、入场、现场服务工时、离场交接）'!$T$35</f>
        <v>#VALUE!</v>
      </c>
      <c r="H27" s="16" t="e">
        <f t="shared" si="0"/>
        <v>#VALUE!</v>
      </c>
    </row>
    <row r="28" customHeight="1" spans="2:8">
      <c r="B28" s="11" t="s">
        <v>1695</v>
      </c>
      <c r="C28" s="12" t="s">
        <v>1696</v>
      </c>
      <c r="D28" s="11" t="s">
        <v>1721</v>
      </c>
      <c r="E28" s="13">
        <v>1.5</v>
      </c>
      <c r="F28" s="17"/>
      <c r="G28" s="15" t="e">
        <f>'服务BOQ（含在途、入场、现场服务工时、离场交接）'!$T$35</f>
        <v>#VALUE!</v>
      </c>
      <c r="H28" s="16" t="e">
        <f t="shared" si="0"/>
        <v>#VALUE!</v>
      </c>
    </row>
    <row r="29" customHeight="1" spans="2:8">
      <c r="B29" s="11" t="s">
        <v>1695</v>
      </c>
      <c r="C29" s="12" t="s">
        <v>1696</v>
      </c>
      <c r="D29" s="11" t="s">
        <v>1722</v>
      </c>
      <c r="E29" s="13">
        <v>1.5</v>
      </c>
      <c r="F29" s="17"/>
      <c r="G29" s="15" t="e">
        <f>'服务BOQ（含在途、入场、现场服务工时、离场交接）'!$T$35</f>
        <v>#VALUE!</v>
      </c>
      <c r="H29" s="16" t="e">
        <f t="shared" si="0"/>
        <v>#VALUE!</v>
      </c>
    </row>
    <row r="30" customHeight="1" spans="2:8">
      <c r="B30" s="11" t="s">
        <v>1695</v>
      </c>
      <c r="C30" s="12" t="s">
        <v>1696</v>
      </c>
      <c r="D30" s="11" t="s">
        <v>1723</v>
      </c>
      <c r="E30" s="13">
        <v>1.75</v>
      </c>
      <c r="F30" s="17"/>
      <c r="G30" s="15" t="e">
        <f>'服务BOQ（含在途、入场、现场服务工时、离场交接）'!$T$35</f>
        <v>#VALUE!</v>
      </c>
      <c r="H30" s="16" t="e">
        <f t="shared" si="0"/>
        <v>#VALUE!</v>
      </c>
    </row>
    <row r="31" customHeight="1" spans="2:8">
      <c r="B31" s="11" t="s">
        <v>1695</v>
      </c>
      <c r="C31" s="12" t="s">
        <v>1696</v>
      </c>
      <c r="D31" s="11" t="s">
        <v>1724</v>
      </c>
      <c r="E31" s="13">
        <v>1.75</v>
      </c>
      <c r="F31" s="14"/>
      <c r="G31" s="15" t="e">
        <f>'服务BOQ（含在途、入场、现场服务工时、离场交接）'!$T$35</f>
        <v>#VALUE!</v>
      </c>
      <c r="H31" s="16" t="e">
        <f t="shared" si="0"/>
        <v>#VALUE!</v>
      </c>
    </row>
    <row r="32" customHeight="1" spans="2:8">
      <c r="B32" s="11" t="s">
        <v>1695</v>
      </c>
      <c r="C32" s="12" t="s">
        <v>1696</v>
      </c>
      <c r="D32" s="11" t="s">
        <v>1725</v>
      </c>
      <c r="E32" s="13">
        <v>1.25</v>
      </c>
      <c r="F32" s="17"/>
      <c r="G32" s="15" t="e">
        <f>'服务BOQ（含在途、入场、现场服务工时、离场交接）'!$T$35</f>
        <v>#VALUE!</v>
      </c>
      <c r="H32" s="16" t="e">
        <f t="shared" si="0"/>
        <v>#VALUE!</v>
      </c>
    </row>
    <row r="33" customHeight="1" spans="2:8">
      <c r="B33" s="11" t="s">
        <v>1695</v>
      </c>
      <c r="C33" s="12" t="s">
        <v>1696</v>
      </c>
      <c r="D33" s="11" t="s">
        <v>1726</v>
      </c>
      <c r="E33" s="13">
        <v>1.75</v>
      </c>
      <c r="F33" s="17"/>
      <c r="G33" s="15" t="e">
        <f>'服务BOQ（含在途、入场、现场服务工时、离场交接）'!$T$35</f>
        <v>#VALUE!</v>
      </c>
      <c r="H33" s="16" t="e">
        <f t="shared" si="0"/>
        <v>#VALUE!</v>
      </c>
    </row>
    <row r="34" customHeight="1" spans="2:8">
      <c r="B34" s="11" t="s">
        <v>1695</v>
      </c>
      <c r="C34" s="12" t="s">
        <v>1696</v>
      </c>
      <c r="D34" s="11" t="s">
        <v>1727</v>
      </c>
      <c r="E34" s="13">
        <v>1.25</v>
      </c>
      <c r="F34" s="14"/>
      <c r="G34" s="15" t="e">
        <f>'服务BOQ（含在途、入场、现场服务工时、离场交接）'!$T$35</f>
        <v>#VALUE!</v>
      </c>
      <c r="H34" s="16" t="e">
        <f t="shared" si="0"/>
        <v>#VALUE!</v>
      </c>
    </row>
    <row r="35" customHeight="1" spans="2:8">
      <c r="B35" s="11" t="s">
        <v>1695</v>
      </c>
      <c r="C35" s="12" t="s">
        <v>1696</v>
      </c>
      <c r="D35" s="11" t="s">
        <v>1728</v>
      </c>
      <c r="E35" s="13">
        <v>3.5</v>
      </c>
      <c r="F35" s="14"/>
      <c r="G35" s="15" t="e">
        <f>'服务BOQ（含在途、入场、现场服务工时、离场交接）'!$T$35</f>
        <v>#VALUE!</v>
      </c>
      <c r="H35" s="16" t="e">
        <f t="shared" si="0"/>
        <v>#VALUE!</v>
      </c>
    </row>
    <row r="36" customHeight="1" spans="2:8">
      <c r="B36" s="11" t="s">
        <v>1695</v>
      </c>
      <c r="C36" s="12" t="s">
        <v>1696</v>
      </c>
      <c r="D36" s="11" t="s">
        <v>1729</v>
      </c>
      <c r="E36" s="13">
        <v>0.5</v>
      </c>
      <c r="F36" s="14"/>
      <c r="G36" s="15" t="e">
        <f>'服务BOQ（含在途、入场、现场服务工时、离场交接）'!$T$35</f>
        <v>#VALUE!</v>
      </c>
      <c r="H36" s="16" t="e">
        <f t="shared" si="0"/>
        <v>#VALUE!</v>
      </c>
    </row>
    <row r="37" customHeight="1" spans="2:8">
      <c r="B37" s="11" t="s">
        <v>1695</v>
      </c>
      <c r="C37" s="12" t="s">
        <v>1696</v>
      </c>
      <c r="D37" s="11" t="s">
        <v>1729</v>
      </c>
      <c r="E37" s="13">
        <v>0.5</v>
      </c>
      <c r="F37" s="14"/>
      <c r="G37" s="15" t="e">
        <f>'服务BOQ（含在途、入场、现场服务工时、离场交接）'!$T$35</f>
        <v>#VALUE!</v>
      </c>
      <c r="H37" s="16" t="e">
        <f t="shared" si="0"/>
        <v>#VALUE!</v>
      </c>
    </row>
    <row r="38" customHeight="1" spans="2:8">
      <c r="B38" s="11" t="s">
        <v>1695</v>
      </c>
      <c r="C38" s="12" t="s">
        <v>1696</v>
      </c>
      <c r="D38" s="11" t="s">
        <v>1729</v>
      </c>
      <c r="E38" s="13">
        <v>0.5</v>
      </c>
      <c r="F38" s="14"/>
      <c r="G38" s="15" t="e">
        <f>'服务BOQ（含在途、入场、现场服务工时、离场交接）'!$T$35</f>
        <v>#VALUE!</v>
      </c>
      <c r="H38" s="16" t="e">
        <f t="shared" si="0"/>
        <v>#VALUE!</v>
      </c>
    </row>
    <row r="39" customHeight="1" spans="2:8">
      <c r="B39" s="11" t="s">
        <v>1695</v>
      </c>
      <c r="C39" s="12" t="s">
        <v>1696</v>
      </c>
      <c r="D39" s="11" t="s">
        <v>1729</v>
      </c>
      <c r="E39" s="13">
        <v>0.5</v>
      </c>
      <c r="F39" s="14"/>
      <c r="G39" s="15" t="e">
        <f>'服务BOQ（含在途、入场、现场服务工时、离场交接）'!$T$35</f>
        <v>#VALUE!</v>
      </c>
      <c r="H39" s="16" t="e">
        <f t="shared" si="0"/>
        <v>#VALUE!</v>
      </c>
    </row>
    <row r="40" customHeight="1" spans="2:8">
      <c r="B40" s="11" t="s">
        <v>1695</v>
      </c>
      <c r="C40" s="12" t="s">
        <v>1696</v>
      </c>
      <c r="D40" s="11" t="s">
        <v>1729</v>
      </c>
      <c r="E40" s="13">
        <v>0.5</v>
      </c>
      <c r="F40" s="17"/>
      <c r="G40" s="15" t="e">
        <f>'服务BOQ（含在途、入场、现场服务工时、离场交接）'!$T$35</f>
        <v>#VALUE!</v>
      </c>
      <c r="H40" s="16" t="e">
        <f t="shared" si="0"/>
        <v>#VALUE!</v>
      </c>
    </row>
    <row r="41" customHeight="1" spans="2:8">
      <c r="B41" s="11" t="s">
        <v>1695</v>
      </c>
      <c r="C41" s="12" t="s">
        <v>1696</v>
      </c>
      <c r="D41" s="11" t="s">
        <v>1729</v>
      </c>
      <c r="E41" s="13">
        <v>0.5</v>
      </c>
      <c r="F41" s="14"/>
      <c r="G41" s="15" t="e">
        <f>'服务BOQ（含在途、入场、现场服务工时、离场交接）'!$T$35</f>
        <v>#VALUE!</v>
      </c>
      <c r="H41" s="16" t="e">
        <f t="shared" si="0"/>
        <v>#VALUE!</v>
      </c>
    </row>
    <row r="42" customHeight="1" spans="2:8">
      <c r="B42" s="11" t="s">
        <v>1695</v>
      </c>
      <c r="C42" s="12" t="s">
        <v>1696</v>
      </c>
      <c r="D42" s="11" t="s">
        <v>1729</v>
      </c>
      <c r="E42" s="13">
        <v>0.5</v>
      </c>
      <c r="F42" s="14"/>
      <c r="G42" s="15" t="e">
        <f>'服务BOQ（含在途、入场、现场服务工时、离场交接）'!$T$35</f>
        <v>#VALUE!</v>
      </c>
      <c r="H42" s="16" t="e">
        <f t="shared" si="0"/>
        <v>#VALUE!</v>
      </c>
    </row>
    <row r="43" customHeight="1" spans="2:8">
      <c r="B43" s="11" t="s">
        <v>1695</v>
      </c>
      <c r="C43" s="12" t="s">
        <v>1696</v>
      </c>
      <c r="D43" s="11" t="s">
        <v>1730</v>
      </c>
      <c r="E43" s="13">
        <v>1.25</v>
      </c>
      <c r="F43" s="14"/>
      <c r="G43" s="15" t="e">
        <f>'服务BOQ（含在途、入场、现场服务工时、离场交接）'!$T$35</f>
        <v>#VALUE!</v>
      </c>
      <c r="H43" s="16" t="e">
        <f t="shared" si="0"/>
        <v>#VALUE!</v>
      </c>
    </row>
    <row r="44" customHeight="1" spans="2:8">
      <c r="B44" s="11" t="s">
        <v>1695</v>
      </c>
      <c r="C44" s="12" t="s">
        <v>1696</v>
      </c>
      <c r="D44" s="11" t="s">
        <v>1731</v>
      </c>
      <c r="E44" s="13">
        <v>1</v>
      </c>
      <c r="F44" s="14"/>
      <c r="G44" s="15" t="e">
        <f>'服务BOQ（含在途、入场、现场服务工时、离场交接）'!$T$35</f>
        <v>#VALUE!</v>
      </c>
      <c r="H44" s="16" t="e">
        <f t="shared" si="0"/>
        <v>#VALUE!</v>
      </c>
    </row>
    <row r="45" customHeight="1" spans="2:8">
      <c r="B45" s="11" t="s">
        <v>1695</v>
      </c>
      <c r="C45" s="12" t="s">
        <v>1696</v>
      </c>
      <c r="D45" s="11" t="s">
        <v>1732</v>
      </c>
      <c r="E45" s="13">
        <v>1.75</v>
      </c>
      <c r="F45" s="14"/>
      <c r="G45" s="15" t="e">
        <f>'服务BOQ（含在途、入场、现场服务工时、离场交接）'!$T$35</f>
        <v>#VALUE!</v>
      </c>
      <c r="H45" s="16" t="e">
        <f t="shared" si="0"/>
        <v>#VALUE!</v>
      </c>
    </row>
    <row r="46" customHeight="1" spans="2:8">
      <c r="B46" s="11" t="s">
        <v>1695</v>
      </c>
      <c r="C46" s="12" t="s">
        <v>1696</v>
      </c>
      <c r="D46" s="11" t="s">
        <v>1733</v>
      </c>
      <c r="E46" s="13">
        <v>3.5</v>
      </c>
      <c r="F46" s="14"/>
      <c r="G46" s="15" t="e">
        <f>'服务BOQ（含在途、入场、现场服务工时、离场交接）'!$T$35</f>
        <v>#VALUE!</v>
      </c>
      <c r="H46" s="16" t="e">
        <f t="shared" si="0"/>
        <v>#VALUE!</v>
      </c>
    </row>
    <row r="47" customHeight="1" spans="2:8">
      <c r="B47" s="11" t="s">
        <v>1695</v>
      </c>
      <c r="C47" s="12" t="s">
        <v>1696</v>
      </c>
      <c r="D47" s="11" t="s">
        <v>1734</v>
      </c>
      <c r="E47" s="13">
        <v>5.5</v>
      </c>
      <c r="F47" s="14"/>
      <c r="G47" s="15" t="e">
        <f>'服务BOQ（含在途、入场、现场服务工时、离场交接）'!$T$35</f>
        <v>#VALUE!</v>
      </c>
      <c r="H47" s="16" t="e">
        <f t="shared" si="0"/>
        <v>#VALUE!</v>
      </c>
    </row>
    <row r="48" customHeight="1" spans="2:8">
      <c r="B48" s="11" t="s">
        <v>1695</v>
      </c>
      <c r="C48" s="12" t="s">
        <v>1735</v>
      </c>
      <c r="D48" s="11" t="s">
        <v>1736</v>
      </c>
      <c r="E48" s="13">
        <v>5</v>
      </c>
      <c r="F48" s="14"/>
      <c r="G48" s="15" t="e">
        <f>'服务BOQ（含在途、入场、现场服务工时、离场交接）'!$T$35</f>
        <v>#VALUE!</v>
      </c>
      <c r="H48" s="16" t="e">
        <f t="shared" si="0"/>
        <v>#VALUE!</v>
      </c>
    </row>
    <row r="49" customHeight="1" spans="2:8">
      <c r="B49" s="11" t="s">
        <v>1695</v>
      </c>
      <c r="C49" s="12" t="s">
        <v>1735</v>
      </c>
      <c r="D49" s="11" t="s">
        <v>1737</v>
      </c>
      <c r="E49" s="13">
        <v>4</v>
      </c>
      <c r="F49" s="14"/>
      <c r="G49" s="15" t="e">
        <f>'服务BOQ（含在途、入场、现场服务工时、离场交接）'!$T$35</f>
        <v>#VALUE!</v>
      </c>
      <c r="H49" s="16" t="e">
        <f t="shared" si="0"/>
        <v>#VALUE!</v>
      </c>
    </row>
    <row r="50" customHeight="1" spans="2:8">
      <c r="B50" s="11" t="s">
        <v>1695</v>
      </c>
      <c r="C50" s="12" t="s">
        <v>1735</v>
      </c>
      <c r="D50" s="11" t="s">
        <v>1738</v>
      </c>
      <c r="E50" s="13">
        <v>1.25</v>
      </c>
      <c r="F50" s="14"/>
      <c r="G50" s="15" t="e">
        <f>'服务BOQ（含在途、入场、现场服务工时、离场交接）'!$T$35</f>
        <v>#VALUE!</v>
      </c>
      <c r="H50" s="16" t="e">
        <f t="shared" si="0"/>
        <v>#VALUE!</v>
      </c>
    </row>
    <row r="51" customHeight="1" spans="2:8">
      <c r="B51" s="11" t="s">
        <v>1695</v>
      </c>
      <c r="C51" s="12" t="s">
        <v>1735</v>
      </c>
      <c r="D51" s="11" t="s">
        <v>1739</v>
      </c>
      <c r="E51" s="13">
        <v>1.25</v>
      </c>
      <c r="F51" s="14"/>
      <c r="G51" s="15" t="e">
        <f>'服务BOQ（含在途、入场、现场服务工时、离场交接）'!$T$35</f>
        <v>#VALUE!</v>
      </c>
      <c r="H51" s="16" t="e">
        <f t="shared" si="0"/>
        <v>#VALUE!</v>
      </c>
    </row>
    <row r="52" customHeight="1" spans="2:8">
      <c r="B52" s="11" t="s">
        <v>1695</v>
      </c>
      <c r="C52" s="12" t="s">
        <v>1735</v>
      </c>
      <c r="D52" s="11" t="s">
        <v>1707</v>
      </c>
      <c r="E52" s="13">
        <v>2.2</v>
      </c>
      <c r="F52" s="14"/>
      <c r="G52" s="15" t="e">
        <f>'服务BOQ（含在途、入场、现场服务工时、离场交接）'!$T$35</f>
        <v>#VALUE!</v>
      </c>
      <c r="H52" s="16" t="e">
        <f t="shared" si="0"/>
        <v>#VALUE!</v>
      </c>
    </row>
    <row r="53" customHeight="1" spans="2:8">
      <c r="B53" s="11" t="s">
        <v>1695</v>
      </c>
      <c r="C53" s="12" t="s">
        <v>1735</v>
      </c>
      <c r="D53" s="11" t="s">
        <v>1740</v>
      </c>
      <c r="E53" s="13">
        <v>1.5</v>
      </c>
      <c r="F53" s="14"/>
      <c r="G53" s="15" t="e">
        <f>'服务BOQ（含在途、入场、现场服务工时、离场交接）'!$T$35</f>
        <v>#VALUE!</v>
      </c>
      <c r="H53" s="16" t="e">
        <f t="shared" si="0"/>
        <v>#VALUE!</v>
      </c>
    </row>
    <row r="54" customHeight="1" spans="2:8">
      <c r="B54" s="11" t="s">
        <v>1695</v>
      </c>
      <c r="C54" s="12" t="s">
        <v>1735</v>
      </c>
      <c r="D54" s="11" t="s">
        <v>1741</v>
      </c>
      <c r="E54" s="13">
        <v>1.5</v>
      </c>
      <c r="F54" s="14"/>
      <c r="G54" s="15" t="e">
        <f>'服务BOQ（含在途、入场、现场服务工时、离场交接）'!$T$35</f>
        <v>#VALUE!</v>
      </c>
      <c r="H54" s="16" t="e">
        <f t="shared" si="0"/>
        <v>#VALUE!</v>
      </c>
    </row>
    <row r="55" customHeight="1" spans="2:8">
      <c r="B55" s="11" t="s">
        <v>1695</v>
      </c>
      <c r="C55" s="12" t="s">
        <v>1735</v>
      </c>
      <c r="D55" s="11" t="s">
        <v>1718</v>
      </c>
      <c r="E55" s="13">
        <v>1.5</v>
      </c>
      <c r="F55" s="14"/>
      <c r="G55" s="15" t="e">
        <f>'服务BOQ（含在途、入场、现场服务工时、离场交接）'!$T$35</f>
        <v>#VALUE!</v>
      </c>
      <c r="H55" s="16" t="e">
        <f t="shared" si="0"/>
        <v>#VALUE!</v>
      </c>
    </row>
    <row r="56" customHeight="1" spans="2:8">
      <c r="B56" s="11" t="s">
        <v>1695</v>
      </c>
      <c r="C56" s="12" t="s">
        <v>1735</v>
      </c>
      <c r="D56" s="11" t="s">
        <v>1742</v>
      </c>
      <c r="E56" s="13">
        <v>4</v>
      </c>
      <c r="F56" s="17"/>
      <c r="G56" s="15" t="e">
        <f>'服务BOQ（含在途、入场、现场服务工时、离场交接）'!$T$35</f>
        <v>#VALUE!</v>
      </c>
      <c r="H56" s="16" t="e">
        <f t="shared" si="0"/>
        <v>#VALUE!</v>
      </c>
    </row>
    <row r="57" customHeight="1" spans="2:8">
      <c r="B57" s="11" t="s">
        <v>1695</v>
      </c>
      <c r="C57" s="12" t="s">
        <v>1735</v>
      </c>
      <c r="D57" s="11" t="s">
        <v>1725</v>
      </c>
      <c r="E57" s="13">
        <v>1.5</v>
      </c>
      <c r="F57" s="17"/>
      <c r="G57" s="15" t="e">
        <f>'服务BOQ（含在途、入场、现场服务工时、离场交接）'!$T$35</f>
        <v>#VALUE!</v>
      </c>
      <c r="H57" s="16" t="e">
        <f t="shared" si="0"/>
        <v>#VALUE!</v>
      </c>
    </row>
    <row r="58" customHeight="1" spans="2:8">
      <c r="B58" s="11" t="s">
        <v>1695</v>
      </c>
      <c r="C58" s="12" t="s">
        <v>1735</v>
      </c>
      <c r="D58" s="11" t="s">
        <v>1743</v>
      </c>
      <c r="E58" s="13">
        <v>4</v>
      </c>
      <c r="F58" s="17"/>
      <c r="G58" s="15" t="e">
        <f>'服务BOQ（含在途、入场、现场服务工时、离场交接）'!$T$35</f>
        <v>#VALUE!</v>
      </c>
      <c r="H58" s="16" t="e">
        <f t="shared" si="0"/>
        <v>#VALUE!</v>
      </c>
    </row>
    <row r="59" customHeight="1" spans="2:8">
      <c r="B59" s="11" t="s">
        <v>1695</v>
      </c>
      <c r="C59" s="12" t="s">
        <v>1735</v>
      </c>
      <c r="D59" s="11" t="s">
        <v>1744</v>
      </c>
      <c r="E59" s="13">
        <v>7.5</v>
      </c>
      <c r="F59" s="17"/>
      <c r="G59" s="15" t="e">
        <f>'服务BOQ（含在途、入场、现场服务工时、离场交接）'!$T$35</f>
        <v>#VALUE!</v>
      </c>
      <c r="H59" s="16" t="e">
        <f t="shared" si="0"/>
        <v>#VALUE!</v>
      </c>
    </row>
    <row r="60" customHeight="1" spans="2:8">
      <c r="B60" s="11" t="s">
        <v>1695</v>
      </c>
      <c r="C60" s="12" t="s">
        <v>1735</v>
      </c>
      <c r="D60" s="11" t="s">
        <v>1745</v>
      </c>
      <c r="E60" s="13">
        <v>4</v>
      </c>
      <c r="F60" s="14"/>
      <c r="G60" s="15" t="e">
        <f>'服务BOQ（含在途、入场、现场服务工时、离场交接）'!$T$35</f>
        <v>#VALUE!</v>
      </c>
      <c r="H60" s="16" t="e">
        <f t="shared" si="0"/>
        <v>#VALUE!</v>
      </c>
    </row>
    <row r="61" customHeight="1" spans="2:8">
      <c r="B61" s="11" t="s">
        <v>1695</v>
      </c>
      <c r="C61" s="12" t="s">
        <v>1735</v>
      </c>
      <c r="D61" s="11" t="s">
        <v>1710</v>
      </c>
      <c r="E61" s="13">
        <v>1.2</v>
      </c>
      <c r="F61" s="14"/>
      <c r="G61" s="15" t="e">
        <f>'服务BOQ（含在途、入场、现场服务工时、离场交接）'!$T$35</f>
        <v>#VALUE!</v>
      </c>
      <c r="H61" s="16" t="e">
        <f t="shared" si="0"/>
        <v>#VALUE!</v>
      </c>
    </row>
    <row r="62" customHeight="1" spans="2:8">
      <c r="B62" s="11" t="s">
        <v>1695</v>
      </c>
      <c r="C62" s="12" t="s">
        <v>1735</v>
      </c>
      <c r="D62" s="11" t="s">
        <v>1746</v>
      </c>
      <c r="E62" s="13">
        <v>2</v>
      </c>
      <c r="F62" s="14"/>
      <c r="G62" s="15" t="e">
        <f>'服务BOQ（含在途、入场、现场服务工时、离场交接）'!$T$35</f>
        <v>#VALUE!</v>
      </c>
      <c r="H62" s="16" t="e">
        <f t="shared" si="0"/>
        <v>#VALUE!</v>
      </c>
    </row>
    <row r="63" customHeight="1" spans="2:8">
      <c r="B63" s="11" t="s">
        <v>1695</v>
      </c>
      <c r="C63" s="12" t="s">
        <v>1735</v>
      </c>
      <c r="D63" s="11" t="s">
        <v>1747</v>
      </c>
      <c r="E63" s="13">
        <v>1.5</v>
      </c>
      <c r="F63" s="14"/>
      <c r="G63" s="15" t="e">
        <f>'服务BOQ（含在途、入场、现场服务工时、离场交接）'!$T$35</f>
        <v>#VALUE!</v>
      </c>
      <c r="H63" s="16" t="e">
        <f t="shared" si="0"/>
        <v>#VALUE!</v>
      </c>
    </row>
    <row r="64" customHeight="1" spans="2:8">
      <c r="B64" s="11" t="s">
        <v>1695</v>
      </c>
      <c r="C64" s="12" t="s">
        <v>1735</v>
      </c>
      <c r="D64" s="11" t="s">
        <v>1748</v>
      </c>
      <c r="E64" s="13">
        <v>1.5</v>
      </c>
      <c r="F64" s="14"/>
      <c r="G64" s="15" t="e">
        <f>'服务BOQ（含在途、入场、现场服务工时、离场交接）'!$T$35</f>
        <v>#VALUE!</v>
      </c>
      <c r="H64" s="16" t="e">
        <f t="shared" si="0"/>
        <v>#VALUE!</v>
      </c>
    </row>
    <row r="65" customHeight="1" spans="2:8">
      <c r="B65" s="11" t="s">
        <v>1695</v>
      </c>
      <c r="C65" s="12" t="s">
        <v>1735</v>
      </c>
      <c r="D65" s="11" t="s">
        <v>1727</v>
      </c>
      <c r="E65" s="13">
        <v>1.1</v>
      </c>
      <c r="F65" s="14"/>
      <c r="G65" s="15" t="e">
        <f>'服务BOQ（含在途、入场、现场服务工时、离场交接）'!$T$35</f>
        <v>#VALUE!</v>
      </c>
      <c r="H65" s="16" t="e">
        <f t="shared" si="0"/>
        <v>#VALUE!</v>
      </c>
    </row>
    <row r="66" customHeight="1" spans="2:8">
      <c r="B66" s="11" t="s">
        <v>1695</v>
      </c>
      <c r="C66" s="12" t="s">
        <v>1735</v>
      </c>
      <c r="D66" s="11" t="s">
        <v>1749</v>
      </c>
      <c r="E66" s="13">
        <v>12</v>
      </c>
      <c r="F66" s="14"/>
      <c r="G66" s="15" t="e">
        <f>'服务BOQ（含在途、入场、现场服务工时、离场交接）'!$T$35</f>
        <v>#VALUE!</v>
      </c>
      <c r="H66" s="16" t="e">
        <f t="shared" si="0"/>
        <v>#VALUE!</v>
      </c>
    </row>
    <row r="67" customHeight="1" spans="2:8">
      <c r="B67" s="11" t="s">
        <v>1695</v>
      </c>
      <c r="C67" s="12" t="s">
        <v>1735</v>
      </c>
      <c r="D67" s="11" t="s">
        <v>1750</v>
      </c>
      <c r="E67" s="13" t="s">
        <v>1751</v>
      </c>
      <c r="F67" s="14" t="s">
        <v>1752</v>
      </c>
      <c r="G67" s="15" t="e">
        <f>'服务BOQ（含在途、入场、现场服务工时、离场交接）'!$T$35</f>
        <v>#VALUE!</v>
      </c>
      <c r="H67" s="16" t="e">
        <f t="shared" si="0"/>
        <v>#VALUE!</v>
      </c>
    </row>
    <row r="68" customHeight="1" spans="2:8">
      <c r="B68" s="11" t="s">
        <v>1695</v>
      </c>
      <c r="C68" s="12" t="s">
        <v>1735</v>
      </c>
      <c r="D68" s="11" t="s">
        <v>1753</v>
      </c>
      <c r="E68" s="13">
        <v>32</v>
      </c>
      <c r="F68" s="14"/>
      <c r="G68" s="15" t="e">
        <f>'服务BOQ（含在途、入场、现场服务工时、离场交接）'!$T$35</f>
        <v>#VALUE!</v>
      </c>
      <c r="H68" s="16" t="e">
        <f t="shared" si="0"/>
        <v>#VALUE!</v>
      </c>
    </row>
    <row r="69" customHeight="1" spans="2:8">
      <c r="B69" s="11" t="s">
        <v>1695</v>
      </c>
      <c r="C69" s="12" t="s">
        <v>1696</v>
      </c>
      <c r="D69" s="11" t="s">
        <v>1754</v>
      </c>
      <c r="E69" s="13">
        <v>2</v>
      </c>
      <c r="F69" s="17"/>
      <c r="G69" s="15" t="e">
        <f>'服务BOQ（含在途、入场、现场服务工时、离场交接）'!$T$35</f>
        <v>#VALUE!</v>
      </c>
      <c r="H69" s="16" t="e">
        <f t="shared" ref="H69:H132" si="1">G69+E69</f>
        <v>#VALUE!</v>
      </c>
    </row>
    <row r="70" customHeight="1" spans="2:8">
      <c r="B70" s="11" t="s">
        <v>1695</v>
      </c>
      <c r="C70" s="12" t="s">
        <v>1696</v>
      </c>
      <c r="D70" s="11" t="s">
        <v>1697</v>
      </c>
      <c r="E70" s="13">
        <v>9.5</v>
      </c>
      <c r="F70" s="17"/>
      <c r="G70" s="15" t="e">
        <f>'服务BOQ（含在途、入场、现场服务工时、离场交接）'!$T$35</f>
        <v>#VALUE!</v>
      </c>
      <c r="H70" s="16" t="e">
        <f t="shared" si="1"/>
        <v>#VALUE!</v>
      </c>
    </row>
    <row r="71" customHeight="1" spans="2:8">
      <c r="B71" s="11" t="s">
        <v>1695</v>
      </c>
      <c r="C71" s="12" t="s">
        <v>1696</v>
      </c>
      <c r="D71" s="11" t="s">
        <v>1698</v>
      </c>
      <c r="E71" s="13">
        <v>1.7</v>
      </c>
      <c r="F71" s="17"/>
      <c r="G71" s="15" t="e">
        <f>'服务BOQ（含在途、入场、现场服务工时、离场交接）'!$T$35</f>
        <v>#VALUE!</v>
      </c>
      <c r="H71" s="16" t="e">
        <f t="shared" si="1"/>
        <v>#VALUE!</v>
      </c>
    </row>
    <row r="72" customHeight="1" spans="2:8">
      <c r="B72" s="11" t="s">
        <v>1695</v>
      </c>
      <c r="C72" s="12" t="s">
        <v>1696</v>
      </c>
      <c r="D72" s="11" t="s">
        <v>1699</v>
      </c>
      <c r="E72" s="13">
        <v>19</v>
      </c>
      <c r="F72" s="17"/>
      <c r="G72" s="15" t="e">
        <f>'服务BOQ（含在途、入场、现场服务工时、离场交接）'!$T$35</f>
        <v>#VALUE!</v>
      </c>
      <c r="H72" s="16" t="e">
        <f t="shared" si="1"/>
        <v>#VALUE!</v>
      </c>
    </row>
    <row r="73" customHeight="1" spans="2:8">
      <c r="B73" s="11" t="s">
        <v>1695</v>
      </c>
      <c r="C73" s="12" t="s">
        <v>1696</v>
      </c>
      <c r="D73" s="11" t="s">
        <v>1700</v>
      </c>
      <c r="E73" s="13">
        <v>3.5</v>
      </c>
      <c r="F73" s="17"/>
      <c r="G73" s="15" t="e">
        <f>'服务BOQ（含在途、入场、现场服务工时、离场交接）'!$T$35</f>
        <v>#VALUE!</v>
      </c>
      <c r="H73" s="16" t="e">
        <f t="shared" si="1"/>
        <v>#VALUE!</v>
      </c>
    </row>
    <row r="74" customHeight="1" spans="2:8">
      <c r="B74" s="11" t="s">
        <v>1695</v>
      </c>
      <c r="C74" s="12" t="s">
        <v>1696</v>
      </c>
      <c r="D74" s="11" t="s">
        <v>1701</v>
      </c>
      <c r="E74" s="13">
        <v>5.5</v>
      </c>
      <c r="F74" s="17"/>
      <c r="G74" s="15" t="e">
        <f>'服务BOQ（含在途、入场、现场服务工时、离场交接）'!$T$35</f>
        <v>#VALUE!</v>
      </c>
      <c r="H74" s="16" t="e">
        <f t="shared" si="1"/>
        <v>#VALUE!</v>
      </c>
    </row>
    <row r="75" customHeight="1" spans="2:8">
      <c r="B75" s="11" t="s">
        <v>1695</v>
      </c>
      <c r="C75" s="12" t="s">
        <v>1696</v>
      </c>
      <c r="D75" s="11" t="s">
        <v>722</v>
      </c>
      <c r="E75" s="13">
        <v>11.25</v>
      </c>
      <c r="F75" s="17"/>
      <c r="G75" s="15" t="e">
        <f>'服务BOQ（含在途、入场、现场服务工时、离场交接）'!$T$35</f>
        <v>#VALUE!</v>
      </c>
      <c r="H75" s="16" t="e">
        <f t="shared" si="1"/>
        <v>#VALUE!</v>
      </c>
    </row>
    <row r="76" customHeight="1" spans="2:8">
      <c r="B76" s="11" t="s">
        <v>1695</v>
      </c>
      <c r="C76" s="12" t="s">
        <v>1696</v>
      </c>
      <c r="D76" s="11" t="s">
        <v>1702</v>
      </c>
      <c r="E76" s="13" t="s">
        <v>1755</v>
      </c>
      <c r="F76" s="17" t="s">
        <v>1704</v>
      </c>
      <c r="G76" s="15" t="e">
        <f>'服务BOQ（含在途、入场、现场服务工时、离场交接）'!$T$35</f>
        <v>#VALUE!</v>
      </c>
      <c r="H76" s="16" t="e">
        <f t="shared" si="1"/>
        <v>#VALUE!</v>
      </c>
    </row>
    <row r="77" customHeight="1" spans="2:8">
      <c r="B77" s="11" t="s">
        <v>1695</v>
      </c>
      <c r="C77" s="12" t="s">
        <v>1696</v>
      </c>
      <c r="D77" s="11" t="s">
        <v>1703</v>
      </c>
      <c r="E77" s="13" t="s">
        <v>1756</v>
      </c>
      <c r="F77" s="17" t="s">
        <v>1706</v>
      </c>
      <c r="G77" s="15" t="e">
        <f>'服务BOQ（含在途、入场、现场服务工时、离场交接）'!$T$35</f>
        <v>#VALUE!</v>
      </c>
      <c r="H77" s="16" t="e">
        <f t="shared" si="1"/>
        <v>#VALUE!</v>
      </c>
    </row>
    <row r="78" customHeight="1" spans="2:8">
      <c r="B78" s="11" t="s">
        <v>1695</v>
      </c>
      <c r="C78" s="12" t="s">
        <v>1696</v>
      </c>
      <c r="D78" s="11" t="s">
        <v>1705</v>
      </c>
      <c r="E78" s="13">
        <v>0.75</v>
      </c>
      <c r="F78" s="17"/>
      <c r="G78" s="15" t="e">
        <f>'服务BOQ（含在途、入场、现场服务工时、离场交接）'!$T$35</f>
        <v>#VALUE!</v>
      </c>
      <c r="H78" s="16" t="e">
        <f t="shared" si="1"/>
        <v>#VALUE!</v>
      </c>
    </row>
    <row r="79" customHeight="1" spans="2:8">
      <c r="B79" s="11" t="s">
        <v>1695</v>
      </c>
      <c r="C79" s="12" t="s">
        <v>1696</v>
      </c>
      <c r="D79" s="11" t="s">
        <v>1707</v>
      </c>
      <c r="E79" s="13">
        <v>1.7</v>
      </c>
      <c r="F79" s="17"/>
      <c r="G79" s="15" t="e">
        <f>'服务BOQ（含在途、入场、现场服务工时、离场交接）'!$T$35</f>
        <v>#VALUE!</v>
      </c>
      <c r="H79" s="16" t="e">
        <f t="shared" si="1"/>
        <v>#VALUE!</v>
      </c>
    </row>
    <row r="80" customHeight="1" spans="2:8">
      <c r="B80" s="11" t="s">
        <v>1695</v>
      </c>
      <c r="C80" s="12" t="s">
        <v>1696</v>
      </c>
      <c r="D80" s="11" t="s">
        <v>1708</v>
      </c>
      <c r="E80" s="13">
        <v>1.7</v>
      </c>
      <c r="F80" s="17"/>
      <c r="G80" s="15" t="e">
        <f>'服务BOQ（含在途、入场、现场服务工时、离场交接）'!$T$35</f>
        <v>#VALUE!</v>
      </c>
      <c r="H80" s="16" t="e">
        <f t="shared" si="1"/>
        <v>#VALUE!</v>
      </c>
    </row>
    <row r="81" customHeight="1" spans="2:8">
      <c r="B81" s="11" t="s">
        <v>1695</v>
      </c>
      <c r="C81" s="12" t="s">
        <v>1696</v>
      </c>
      <c r="D81" s="11" t="s">
        <v>1709</v>
      </c>
      <c r="E81" s="13">
        <v>2.5</v>
      </c>
      <c r="F81" s="17"/>
      <c r="G81" s="15" t="e">
        <f>'服务BOQ（含在途、入场、现场服务工时、离场交接）'!$T$35</f>
        <v>#VALUE!</v>
      </c>
      <c r="H81" s="16" t="e">
        <f t="shared" si="1"/>
        <v>#VALUE!</v>
      </c>
    </row>
    <row r="82" customHeight="1" spans="2:8">
      <c r="B82" s="11" t="s">
        <v>1695</v>
      </c>
      <c r="C82" s="12" t="s">
        <v>1696</v>
      </c>
      <c r="D82" s="11" t="s">
        <v>1710</v>
      </c>
      <c r="E82" s="13">
        <v>2</v>
      </c>
      <c r="F82" s="14"/>
      <c r="G82" s="15" t="e">
        <f>'服务BOQ（含在途、入场、现场服务工时、离场交接）'!$T$35</f>
        <v>#VALUE!</v>
      </c>
      <c r="H82" s="16" t="e">
        <f t="shared" si="1"/>
        <v>#VALUE!</v>
      </c>
    </row>
    <row r="83" customHeight="1" spans="2:8">
      <c r="B83" s="11" t="s">
        <v>1695</v>
      </c>
      <c r="C83" s="12" t="s">
        <v>1696</v>
      </c>
      <c r="D83" s="11" t="s">
        <v>1712</v>
      </c>
      <c r="E83" s="13">
        <v>2.5</v>
      </c>
      <c r="F83" s="17"/>
      <c r="G83" s="15" t="e">
        <f>'服务BOQ（含在途、入场、现场服务工时、离场交接）'!$T$35</f>
        <v>#VALUE!</v>
      </c>
      <c r="H83" s="16" t="e">
        <f t="shared" si="1"/>
        <v>#VALUE!</v>
      </c>
    </row>
    <row r="84" customHeight="1" spans="2:8">
      <c r="B84" s="11" t="s">
        <v>1695</v>
      </c>
      <c r="C84" s="12" t="s">
        <v>1696</v>
      </c>
      <c r="D84" s="11" t="s">
        <v>1714</v>
      </c>
      <c r="E84" s="13">
        <v>46.5</v>
      </c>
      <c r="F84" s="17"/>
      <c r="G84" s="15" t="e">
        <f>'服务BOQ（含在途、入场、现场服务工时、离场交接）'!$T$35</f>
        <v>#VALUE!</v>
      </c>
      <c r="H84" s="16" t="e">
        <f t="shared" si="1"/>
        <v>#VALUE!</v>
      </c>
    </row>
    <row r="85" customHeight="1" spans="2:8">
      <c r="B85" s="11" t="s">
        <v>1695</v>
      </c>
      <c r="C85" s="12" t="s">
        <v>1696</v>
      </c>
      <c r="D85" s="11" t="s">
        <v>1715</v>
      </c>
      <c r="E85" s="13">
        <v>31</v>
      </c>
      <c r="F85" s="17"/>
      <c r="G85" s="15" t="e">
        <f>'服务BOQ（含在途、入场、现场服务工时、离场交接）'!$T$35</f>
        <v>#VALUE!</v>
      </c>
      <c r="H85" s="16" t="e">
        <f t="shared" si="1"/>
        <v>#VALUE!</v>
      </c>
    </row>
    <row r="86" customHeight="1" spans="2:8">
      <c r="B86" s="11" t="s">
        <v>1695</v>
      </c>
      <c r="C86" s="12" t="s">
        <v>1696</v>
      </c>
      <c r="D86" s="11" t="s">
        <v>1716</v>
      </c>
      <c r="E86" s="13">
        <v>1.5</v>
      </c>
      <c r="F86" s="17"/>
      <c r="G86" s="15" t="e">
        <f>'服务BOQ（含在途、入场、现场服务工时、离场交接）'!$T$35</f>
        <v>#VALUE!</v>
      </c>
      <c r="H86" s="16" t="e">
        <f t="shared" si="1"/>
        <v>#VALUE!</v>
      </c>
    </row>
    <row r="87" customHeight="1" spans="2:8">
      <c r="B87" s="11" t="s">
        <v>1695</v>
      </c>
      <c r="C87" s="12" t="s">
        <v>1696</v>
      </c>
      <c r="D87" s="11" t="s">
        <v>1717</v>
      </c>
      <c r="E87" s="13">
        <v>1</v>
      </c>
      <c r="F87" s="14"/>
      <c r="G87" s="15" t="e">
        <f>'服务BOQ（含在途、入场、现场服务工时、离场交接）'!$T$35</f>
        <v>#VALUE!</v>
      </c>
      <c r="H87" s="16" t="e">
        <f t="shared" si="1"/>
        <v>#VALUE!</v>
      </c>
    </row>
    <row r="88" customHeight="1" spans="2:8">
      <c r="B88" s="11" t="s">
        <v>1695</v>
      </c>
      <c r="C88" s="12" t="s">
        <v>1696</v>
      </c>
      <c r="D88" s="11" t="s">
        <v>1718</v>
      </c>
      <c r="E88" s="13">
        <v>1.25</v>
      </c>
      <c r="F88" s="17"/>
      <c r="G88" s="15" t="e">
        <f>'服务BOQ（含在途、入场、现场服务工时、离场交接）'!$T$35</f>
        <v>#VALUE!</v>
      </c>
      <c r="H88" s="16" t="e">
        <f t="shared" si="1"/>
        <v>#VALUE!</v>
      </c>
    </row>
    <row r="89" customHeight="1" spans="2:8">
      <c r="B89" s="11" t="s">
        <v>1695</v>
      </c>
      <c r="C89" s="12" t="s">
        <v>1696</v>
      </c>
      <c r="D89" s="11" t="s">
        <v>1719</v>
      </c>
      <c r="E89" s="13">
        <v>1.25</v>
      </c>
      <c r="F89" s="14"/>
      <c r="G89" s="15" t="e">
        <f>'服务BOQ（含在途、入场、现场服务工时、离场交接）'!$T$35</f>
        <v>#VALUE!</v>
      </c>
      <c r="H89" s="16" t="e">
        <f t="shared" si="1"/>
        <v>#VALUE!</v>
      </c>
    </row>
    <row r="90" customHeight="1" spans="2:8">
      <c r="B90" s="11" t="s">
        <v>1695</v>
      </c>
      <c r="C90" s="12" t="s">
        <v>1696</v>
      </c>
      <c r="D90" s="11" t="s">
        <v>1720</v>
      </c>
      <c r="E90" s="13">
        <v>1.5</v>
      </c>
      <c r="F90" s="17"/>
      <c r="G90" s="15" t="e">
        <f>'服务BOQ（含在途、入场、现场服务工时、离场交接）'!$T$35</f>
        <v>#VALUE!</v>
      </c>
      <c r="H90" s="16" t="e">
        <f t="shared" si="1"/>
        <v>#VALUE!</v>
      </c>
    </row>
    <row r="91" customHeight="1" spans="2:8">
      <c r="B91" s="11" t="s">
        <v>1695</v>
      </c>
      <c r="C91" s="12" t="s">
        <v>1696</v>
      </c>
      <c r="D91" s="11" t="s">
        <v>1721</v>
      </c>
      <c r="E91" s="13">
        <v>1.5</v>
      </c>
      <c r="F91" s="17"/>
      <c r="G91" s="15" t="e">
        <f>'服务BOQ（含在途、入场、现场服务工时、离场交接）'!$T$35</f>
        <v>#VALUE!</v>
      </c>
      <c r="H91" s="16" t="e">
        <f t="shared" si="1"/>
        <v>#VALUE!</v>
      </c>
    </row>
    <row r="92" customHeight="1" spans="2:8">
      <c r="B92" s="11" t="s">
        <v>1695</v>
      </c>
      <c r="C92" s="12" t="s">
        <v>1696</v>
      </c>
      <c r="D92" s="11" t="s">
        <v>1722</v>
      </c>
      <c r="E92" s="13">
        <v>1.5</v>
      </c>
      <c r="F92" s="17"/>
      <c r="G92" s="15" t="e">
        <f>'服务BOQ（含在途、入场、现场服务工时、离场交接）'!$T$35</f>
        <v>#VALUE!</v>
      </c>
      <c r="H92" s="16" t="e">
        <f t="shared" si="1"/>
        <v>#VALUE!</v>
      </c>
    </row>
    <row r="93" customHeight="1" spans="2:8">
      <c r="B93" s="11" t="s">
        <v>1695</v>
      </c>
      <c r="C93" s="12" t="s">
        <v>1696</v>
      </c>
      <c r="D93" s="11" t="s">
        <v>1723</v>
      </c>
      <c r="E93" s="13">
        <v>1.75</v>
      </c>
      <c r="F93" s="17"/>
      <c r="G93" s="15" t="e">
        <f>'服务BOQ（含在途、入场、现场服务工时、离场交接）'!$T$35</f>
        <v>#VALUE!</v>
      </c>
      <c r="H93" s="16" t="e">
        <f t="shared" si="1"/>
        <v>#VALUE!</v>
      </c>
    </row>
    <row r="94" customHeight="1" spans="2:8">
      <c r="B94" s="11" t="s">
        <v>1695</v>
      </c>
      <c r="C94" s="12" t="s">
        <v>1696</v>
      </c>
      <c r="D94" s="11" t="s">
        <v>1724</v>
      </c>
      <c r="E94" s="13">
        <v>1.75</v>
      </c>
      <c r="F94" s="17"/>
      <c r="G94" s="15" t="e">
        <f>'服务BOQ（含在途、入场、现场服务工时、离场交接）'!$T$35</f>
        <v>#VALUE!</v>
      </c>
      <c r="H94" s="16" t="e">
        <f t="shared" si="1"/>
        <v>#VALUE!</v>
      </c>
    </row>
    <row r="95" customHeight="1" spans="2:8">
      <c r="B95" s="11" t="s">
        <v>1695</v>
      </c>
      <c r="C95" s="12" t="s">
        <v>1696</v>
      </c>
      <c r="D95" s="11" t="s">
        <v>1725</v>
      </c>
      <c r="E95" s="13">
        <v>1.25</v>
      </c>
      <c r="F95" s="17"/>
      <c r="G95" s="15" t="e">
        <f>'服务BOQ（含在途、入场、现场服务工时、离场交接）'!$T$35</f>
        <v>#VALUE!</v>
      </c>
      <c r="H95" s="16" t="e">
        <f t="shared" si="1"/>
        <v>#VALUE!</v>
      </c>
    </row>
    <row r="96" customHeight="1" spans="2:8">
      <c r="B96" s="11" t="s">
        <v>1695</v>
      </c>
      <c r="C96" s="12" t="s">
        <v>1696</v>
      </c>
      <c r="D96" s="11" t="s">
        <v>1726</v>
      </c>
      <c r="E96" s="13">
        <v>3.5</v>
      </c>
      <c r="F96" s="14"/>
      <c r="G96" s="15" t="e">
        <f>'服务BOQ（含在途、入场、现场服务工时、离场交接）'!$T$35</f>
        <v>#VALUE!</v>
      </c>
      <c r="H96" s="16" t="e">
        <f t="shared" si="1"/>
        <v>#VALUE!</v>
      </c>
    </row>
    <row r="97" customHeight="1" spans="2:8">
      <c r="B97" s="11" t="s">
        <v>1695</v>
      </c>
      <c r="C97" s="12" t="s">
        <v>1696</v>
      </c>
      <c r="D97" s="11" t="s">
        <v>1727</v>
      </c>
      <c r="E97" s="13">
        <v>1.25</v>
      </c>
      <c r="F97" s="17"/>
      <c r="G97" s="15" t="e">
        <f>'服务BOQ（含在途、入场、现场服务工时、离场交接）'!$T$35</f>
        <v>#VALUE!</v>
      </c>
      <c r="H97" s="16" t="e">
        <f t="shared" si="1"/>
        <v>#VALUE!</v>
      </c>
    </row>
    <row r="98" customHeight="1" spans="2:8">
      <c r="B98" s="11" t="s">
        <v>1695</v>
      </c>
      <c r="C98" s="12" t="s">
        <v>1696</v>
      </c>
      <c r="D98" s="11" t="s">
        <v>1728</v>
      </c>
      <c r="E98" s="13">
        <v>3.5</v>
      </c>
      <c r="F98" s="17"/>
      <c r="G98" s="15" t="e">
        <f>'服务BOQ（含在途、入场、现场服务工时、离场交接）'!$T$35</f>
        <v>#VALUE!</v>
      </c>
      <c r="H98" s="16" t="e">
        <f t="shared" si="1"/>
        <v>#VALUE!</v>
      </c>
    </row>
    <row r="99" customHeight="1" spans="2:8">
      <c r="B99" s="11" t="s">
        <v>1695</v>
      </c>
      <c r="C99" s="12" t="s">
        <v>1696</v>
      </c>
      <c r="D99" s="11" t="s">
        <v>1729</v>
      </c>
      <c r="E99" s="13">
        <v>0.5</v>
      </c>
      <c r="F99" s="17"/>
      <c r="G99" s="15" t="e">
        <f>'服务BOQ（含在途、入场、现场服务工时、离场交接）'!$T$35</f>
        <v>#VALUE!</v>
      </c>
      <c r="H99" s="16" t="e">
        <f t="shared" si="1"/>
        <v>#VALUE!</v>
      </c>
    </row>
    <row r="100" customHeight="1" spans="2:8">
      <c r="B100" s="11" t="s">
        <v>1695</v>
      </c>
      <c r="C100" s="12" t="s">
        <v>1696</v>
      </c>
      <c r="D100" s="11" t="s">
        <v>1729</v>
      </c>
      <c r="E100" s="13">
        <v>0.5</v>
      </c>
      <c r="F100" s="17"/>
      <c r="G100" s="15" t="e">
        <f>'服务BOQ（含在途、入场、现场服务工时、离场交接）'!$T$35</f>
        <v>#VALUE!</v>
      </c>
      <c r="H100" s="16" t="e">
        <f t="shared" si="1"/>
        <v>#VALUE!</v>
      </c>
    </row>
    <row r="101" customHeight="1" spans="2:8">
      <c r="B101" s="11" t="s">
        <v>1695</v>
      </c>
      <c r="C101" s="12" t="s">
        <v>1696</v>
      </c>
      <c r="D101" s="11" t="s">
        <v>1729</v>
      </c>
      <c r="E101" s="13">
        <v>0.5</v>
      </c>
      <c r="F101" s="17"/>
      <c r="G101" s="15" t="e">
        <f>'服务BOQ（含在途、入场、现场服务工时、离场交接）'!$T$35</f>
        <v>#VALUE!</v>
      </c>
      <c r="H101" s="16" t="e">
        <f t="shared" si="1"/>
        <v>#VALUE!</v>
      </c>
    </row>
    <row r="102" customHeight="1" spans="2:8">
      <c r="B102" s="11" t="s">
        <v>1695</v>
      </c>
      <c r="C102" s="12" t="s">
        <v>1696</v>
      </c>
      <c r="D102" s="11" t="s">
        <v>1729</v>
      </c>
      <c r="E102" s="13">
        <v>0.5</v>
      </c>
      <c r="F102" s="17"/>
      <c r="G102" s="15" t="e">
        <f>'服务BOQ（含在途、入场、现场服务工时、离场交接）'!$T$35</f>
        <v>#VALUE!</v>
      </c>
      <c r="H102" s="16" t="e">
        <f t="shared" si="1"/>
        <v>#VALUE!</v>
      </c>
    </row>
    <row r="103" customHeight="1" spans="2:8">
      <c r="B103" s="11" t="s">
        <v>1695</v>
      </c>
      <c r="C103" s="12" t="s">
        <v>1696</v>
      </c>
      <c r="D103" s="11" t="s">
        <v>1729</v>
      </c>
      <c r="E103" s="13">
        <v>0.5</v>
      </c>
      <c r="F103" s="17"/>
      <c r="G103" s="15" t="e">
        <f>'服务BOQ（含在途、入场、现场服务工时、离场交接）'!$T$35</f>
        <v>#VALUE!</v>
      </c>
      <c r="H103" s="16" t="e">
        <f t="shared" si="1"/>
        <v>#VALUE!</v>
      </c>
    </row>
    <row r="104" customHeight="1" spans="2:8">
      <c r="B104" s="11" t="s">
        <v>1695</v>
      </c>
      <c r="C104" s="12" t="s">
        <v>1696</v>
      </c>
      <c r="D104" s="11" t="s">
        <v>1729</v>
      </c>
      <c r="E104" s="13">
        <v>0.5</v>
      </c>
      <c r="F104" s="17"/>
      <c r="G104" s="15" t="e">
        <f>'服务BOQ（含在途、入场、现场服务工时、离场交接）'!$T$35</f>
        <v>#VALUE!</v>
      </c>
      <c r="H104" s="16" t="e">
        <f t="shared" si="1"/>
        <v>#VALUE!</v>
      </c>
    </row>
    <row r="105" customHeight="1" spans="2:8">
      <c r="B105" s="11" t="s">
        <v>1695</v>
      </c>
      <c r="C105" s="12" t="s">
        <v>1696</v>
      </c>
      <c r="D105" s="11" t="s">
        <v>1730</v>
      </c>
      <c r="E105" s="13">
        <v>1.25</v>
      </c>
      <c r="F105" s="17"/>
      <c r="G105" s="15" t="e">
        <f>'服务BOQ（含在途、入场、现场服务工时、离场交接）'!$T$35</f>
        <v>#VALUE!</v>
      </c>
      <c r="H105" s="16" t="e">
        <f t="shared" si="1"/>
        <v>#VALUE!</v>
      </c>
    </row>
    <row r="106" customHeight="1" spans="2:8">
      <c r="B106" s="11" t="s">
        <v>1695</v>
      </c>
      <c r="C106" s="12" t="s">
        <v>1696</v>
      </c>
      <c r="D106" s="11" t="s">
        <v>1731</v>
      </c>
      <c r="E106" s="13">
        <v>1</v>
      </c>
      <c r="F106" s="17"/>
      <c r="G106" s="15" t="e">
        <f>'服务BOQ（含在途、入场、现场服务工时、离场交接）'!$T$35</f>
        <v>#VALUE!</v>
      </c>
      <c r="H106" s="16" t="e">
        <f t="shared" si="1"/>
        <v>#VALUE!</v>
      </c>
    </row>
    <row r="107" customHeight="1" spans="2:8">
      <c r="B107" s="11" t="s">
        <v>1695</v>
      </c>
      <c r="C107" s="12" t="s">
        <v>1696</v>
      </c>
      <c r="D107" s="11" t="s">
        <v>1732</v>
      </c>
      <c r="E107" s="13">
        <v>1.75</v>
      </c>
      <c r="F107" s="17"/>
      <c r="G107" s="15" t="e">
        <f>'服务BOQ（含在途、入场、现场服务工时、离场交接）'!$T$35</f>
        <v>#VALUE!</v>
      </c>
      <c r="H107" s="16" t="e">
        <f t="shared" si="1"/>
        <v>#VALUE!</v>
      </c>
    </row>
    <row r="108" customHeight="1" spans="2:8">
      <c r="B108" s="11" t="s">
        <v>1695</v>
      </c>
      <c r="C108" s="12" t="s">
        <v>1696</v>
      </c>
      <c r="D108" s="11" t="s">
        <v>1733</v>
      </c>
      <c r="E108" s="13">
        <v>3.5</v>
      </c>
      <c r="F108" s="17"/>
      <c r="G108" s="15" t="e">
        <f>'服务BOQ（含在途、入场、现场服务工时、离场交接）'!$T$35</f>
        <v>#VALUE!</v>
      </c>
      <c r="H108" s="16" t="e">
        <f t="shared" si="1"/>
        <v>#VALUE!</v>
      </c>
    </row>
    <row r="109" customHeight="1" spans="2:8">
      <c r="B109" s="11" t="s">
        <v>1695</v>
      </c>
      <c r="C109" s="12" t="s">
        <v>1696</v>
      </c>
      <c r="D109" s="11" t="s">
        <v>1734</v>
      </c>
      <c r="E109" s="13">
        <v>5.5</v>
      </c>
      <c r="F109" s="14"/>
      <c r="G109" s="15" t="e">
        <f>'服务BOQ（含在途、入场、现场服务工时、离场交接）'!$T$35</f>
        <v>#VALUE!</v>
      </c>
      <c r="H109" s="16" t="e">
        <f t="shared" si="1"/>
        <v>#VALUE!</v>
      </c>
    </row>
    <row r="110" customHeight="1" spans="2:8">
      <c r="B110" s="11" t="s">
        <v>1695</v>
      </c>
      <c r="C110" s="12" t="s">
        <v>1735</v>
      </c>
      <c r="D110" s="11" t="s">
        <v>1736</v>
      </c>
      <c r="E110" s="13">
        <v>5</v>
      </c>
      <c r="F110" s="14"/>
      <c r="G110" s="15" t="e">
        <f>'服务BOQ（含在途、入场、现场服务工时、离场交接）'!$T$35</f>
        <v>#VALUE!</v>
      </c>
      <c r="H110" s="16" t="e">
        <f t="shared" si="1"/>
        <v>#VALUE!</v>
      </c>
    </row>
    <row r="111" customHeight="1" spans="2:8">
      <c r="B111" s="11" t="s">
        <v>1695</v>
      </c>
      <c r="C111" s="12" t="s">
        <v>1735</v>
      </c>
      <c r="D111" s="11" t="s">
        <v>1737</v>
      </c>
      <c r="E111" s="13">
        <v>4</v>
      </c>
      <c r="F111" s="14"/>
      <c r="G111" s="15" t="e">
        <f>'服务BOQ（含在途、入场、现场服务工时、离场交接）'!$T$35</f>
        <v>#VALUE!</v>
      </c>
      <c r="H111" s="16" t="e">
        <f t="shared" si="1"/>
        <v>#VALUE!</v>
      </c>
    </row>
    <row r="112" customHeight="1" spans="2:8">
      <c r="B112" s="11" t="s">
        <v>1695</v>
      </c>
      <c r="C112" s="12" t="s">
        <v>1735</v>
      </c>
      <c r="D112" s="11" t="s">
        <v>1707</v>
      </c>
      <c r="E112" s="13">
        <v>2.2</v>
      </c>
      <c r="F112" s="14"/>
      <c r="G112" s="15" t="e">
        <f>'服务BOQ（含在途、入场、现场服务工时、离场交接）'!$T$35</f>
        <v>#VALUE!</v>
      </c>
      <c r="H112" s="16" t="e">
        <f t="shared" si="1"/>
        <v>#VALUE!</v>
      </c>
    </row>
    <row r="113" customHeight="1" spans="2:8">
      <c r="B113" s="11" t="s">
        <v>1695</v>
      </c>
      <c r="C113" s="12" t="s">
        <v>1735</v>
      </c>
      <c r="D113" s="11" t="s">
        <v>1748</v>
      </c>
      <c r="E113" s="13">
        <v>1.5</v>
      </c>
      <c r="F113" s="14"/>
      <c r="G113" s="15" t="e">
        <f>'服务BOQ（含在途、入场、现场服务工时、离场交接）'!$T$35</f>
        <v>#VALUE!</v>
      </c>
      <c r="H113" s="16" t="e">
        <f t="shared" si="1"/>
        <v>#VALUE!</v>
      </c>
    </row>
    <row r="114" customHeight="1" spans="2:8">
      <c r="B114" s="11" t="s">
        <v>1695</v>
      </c>
      <c r="C114" s="12" t="s">
        <v>1735</v>
      </c>
      <c r="D114" s="11" t="s">
        <v>1741</v>
      </c>
      <c r="E114" s="13">
        <v>1.5</v>
      </c>
      <c r="F114" s="14"/>
      <c r="G114" s="15" t="e">
        <f>'服务BOQ（含在途、入场、现场服务工时、离场交接）'!$T$35</f>
        <v>#VALUE!</v>
      </c>
      <c r="H114" s="16" t="e">
        <f t="shared" si="1"/>
        <v>#VALUE!</v>
      </c>
    </row>
    <row r="115" customHeight="1" spans="2:8">
      <c r="B115" s="11" t="s">
        <v>1695</v>
      </c>
      <c r="C115" s="12" t="s">
        <v>1735</v>
      </c>
      <c r="D115" s="11" t="s">
        <v>1718</v>
      </c>
      <c r="E115" s="13">
        <v>1.5</v>
      </c>
      <c r="F115" s="17"/>
      <c r="G115" s="15" t="e">
        <f>'服务BOQ（含在途、入场、现场服务工时、离场交接）'!$T$35</f>
        <v>#VALUE!</v>
      </c>
      <c r="H115" s="16" t="e">
        <f t="shared" si="1"/>
        <v>#VALUE!</v>
      </c>
    </row>
    <row r="116" customHeight="1" spans="2:8">
      <c r="B116" s="11" t="s">
        <v>1695</v>
      </c>
      <c r="C116" s="12" t="s">
        <v>1735</v>
      </c>
      <c r="D116" s="11" t="s">
        <v>1742</v>
      </c>
      <c r="E116" s="13">
        <v>4</v>
      </c>
      <c r="F116" s="17"/>
      <c r="G116" s="15" t="e">
        <f>'服务BOQ（含在途、入场、现场服务工时、离场交接）'!$T$35</f>
        <v>#VALUE!</v>
      </c>
      <c r="H116" s="16" t="e">
        <f t="shared" si="1"/>
        <v>#VALUE!</v>
      </c>
    </row>
    <row r="117" customHeight="1" spans="2:8">
      <c r="B117" s="11" t="s">
        <v>1695</v>
      </c>
      <c r="C117" s="12" t="s">
        <v>1735</v>
      </c>
      <c r="D117" s="11" t="s">
        <v>1725</v>
      </c>
      <c r="E117" s="13">
        <v>1.5</v>
      </c>
      <c r="F117" s="17"/>
      <c r="G117" s="15" t="e">
        <f>'服务BOQ（含在途、入场、现场服务工时、离场交接）'!$T$35</f>
        <v>#VALUE!</v>
      </c>
      <c r="H117" s="16" t="e">
        <f t="shared" si="1"/>
        <v>#VALUE!</v>
      </c>
    </row>
    <row r="118" customHeight="1" spans="2:8">
      <c r="B118" s="11" t="s">
        <v>1695</v>
      </c>
      <c r="C118" s="12" t="s">
        <v>1735</v>
      </c>
      <c r="D118" s="11" t="s">
        <v>1743</v>
      </c>
      <c r="E118" s="13">
        <v>4</v>
      </c>
      <c r="F118" s="14"/>
      <c r="G118" s="15" t="e">
        <f>'服务BOQ（含在途、入场、现场服务工时、离场交接）'!$T$35</f>
        <v>#VALUE!</v>
      </c>
      <c r="H118" s="16" t="e">
        <f t="shared" si="1"/>
        <v>#VALUE!</v>
      </c>
    </row>
    <row r="119" customHeight="1" spans="2:8">
      <c r="B119" s="11" t="s">
        <v>1695</v>
      </c>
      <c r="C119" s="12" t="s">
        <v>1735</v>
      </c>
      <c r="D119" s="11" t="s">
        <v>1745</v>
      </c>
      <c r="E119" s="13">
        <v>4</v>
      </c>
      <c r="F119" s="14"/>
      <c r="G119" s="15" t="e">
        <f>'服务BOQ（含在途、入场、现场服务工时、离场交接）'!$T$35</f>
        <v>#VALUE!</v>
      </c>
      <c r="H119" s="16" t="e">
        <f t="shared" si="1"/>
        <v>#VALUE!</v>
      </c>
    </row>
    <row r="120" customHeight="1" spans="2:8">
      <c r="B120" s="11" t="s">
        <v>1695</v>
      </c>
      <c r="C120" s="12" t="s">
        <v>1735</v>
      </c>
      <c r="D120" s="11" t="s">
        <v>1710</v>
      </c>
      <c r="E120" s="13">
        <v>1.2</v>
      </c>
      <c r="F120" s="14"/>
      <c r="G120" s="15" t="e">
        <f>'服务BOQ（含在途、入场、现场服务工时、离场交接）'!$T$35</f>
        <v>#VALUE!</v>
      </c>
      <c r="H120" s="16" t="e">
        <f t="shared" si="1"/>
        <v>#VALUE!</v>
      </c>
    </row>
    <row r="121" customHeight="1" spans="2:8">
      <c r="B121" s="11" t="s">
        <v>1695</v>
      </c>
      <c r="C121" s="12" t="s">
        <v>1735</v>
      </c>
      <c r="D121" s="11" t="s">
        <v>1720</v>
      </c>
      <c r="E121" s="13">
        <v>2</v>
      </c>
      <c r="F121" s="14"/>
      <c r="G121" s="15" t="e">
        <f>'服务BOQ（含在途、入场、现场服务工时、离场交接）'!$T$35</f>
        <v>#VALUE!</v>
      </c>
      <c r="H121" s="16" t="e">
        <f t="shared" si="1"/>
        <v>#VALUE!</v>
      </c>
    </row>
    <row r="122" customHeight="1" spans="2:8">
      <c r="B122" s="11" t="s">
        <v>1695</v>
      </c>
      <c r="C122" s="12" t="s">
        <v>1735</v>
      </c>
      <c r="D122" s="11" t="s">
        <v>1747</v>
      </c>
      <c r="E122" s="13">
        <v>1.5</v>
      </c>
      <c r="F122" s="14"/>
      <c r="G122" s="15" t="e">
        <f>'服务BOQ（含在途、入场、现场服务工时、离场交接）'!$T$35</f>
        <v>#VALUE!</v>
      </c>
      <c r="H122" s="16" t="e">
        <f t="shared" si="1"/>
        <v>#VALUE!</v>
      </c>
    </row>
    <row r="123" customHeight="1" spans="2:8">
      <c r="B123" s="11" t="s">
        <v>1695</v>
      </c>
      <c r="C123" s="12" t="s">
        <v>1735</v>
      </c>
      <c r="D123" s="11" t="s">
        <v>1727</v>
      </c>
      <c r="E123" s="13">
        <v>1.1</v>
      </c>
      <c r="F123" s="14"/>
      <c r="G123" s="15" t="e">
        <f>'服务BOQ（含在途、入场、现场服务工时、离场交接）'!$T$35</f>
        <v>#VALUE!</v>
      </c>
      <c r="H123" s="16" t="e">
        <f t="shared" si="1"/>
        <v>#VALUE!</v>
      </c>
    </row>
    <row r="124" customHeight="1" spans="2:8">
      <c r="B124" s="11" t="s">
        <v>1695</v>
      </c>
      <c r="C124" s="12" t="s">
        <v>1735</v>
      </c>
      <c r="D124" s="11" t="s">
        <v>1749</v>
      </c>
      <c r="E124" s="13">
        <v>12</v>
      </c>
      <c r="F124" s="17"/>
      <c r="G124" s="15" t="e">
        <f>'服务BOQ（含在途、入场、现场服务工时、离场交接）'!$T$35</f>
        <v>#VALUE!</v>
      </c>
      <c r="H124" s="16" t="e">
        <f t="shared" si="1"/>
        <v>#VALUE!</v>
      </c>
    </row>
    <row r="125" customHeight="1" spans="2:8">
      <c r="B125" s="18" t="s">
        <v>1757</v>
      </c>
      <c r="C125" s="19" t="s">
        <v>1696</v>
      </c>
      <c r="D125" s="20" t="s">
        <v>1697</v>
      </c>
      <c r="E125" s="13">
        <v>9.5</v>
      </c>
      <c r="F125" s="17"/>
      <c r="G125" s="15" t="e">
        <f>'服务BOQ（含在途、入场、现场服务工时、离场交接）'!$T$35</f>
        <v>#VALUE!</v>
      </c>
      <c r="H125" s="16" t="e">
        <f t="shared" si="1"/>
        <v>#VALUE!</v>
      </c>
    </row>
    <row r="126" customHeight="1" spans="2:8">
      <c r="B126" s="18" t="s">
        <v>1757</v>
      </c>
      <c r="C126" s="19" t="s">
        <v>1696</v>
      </c>
      <c r="D126" s="20" t="s">
        <v>1698</v>
      </c>
      <c r="E126" s="13">
        <v>1.7</v>
      </c>
      <c r="F126" s="17"/>
      <c r="G126" s="15" t="e">
        <f>'服务BOQ（含在途、入场、现场服务工时、离场交接）'!$T$35</f>
        <v>#VALUE!</v>
      </c>
      <c r="H126" s="16" t="e">
        <f t="shared" si="1"/>
        <v>#VALUE!</v>
      </c>
    </row>
    <row r="127" customHeight="1" spans="2:8">
      <c r="B127" s="18" t="s">
        <v>1757</v>
      </c>
      <c r="C127" s="19" t="s">
        <v>1696</v>
      </c>
      <c r="D127" s="11" t="s">
        <v>1699</v>
      </c>
      <c r="E127" s="13">
        <v>14.25</v>
      </c>
      <c r="F127" s="17"/>
      <c r="G127" s="15" t="e">
        <f>'服务BOQ（含在途、入场、现场服务工时、离场交接）'!$T$35</f>
        <v>#VALUE!</v>
      </c>
      <c r="H127" s="16" t="e">
        <f t="shared" si="1"/>
        <v>#VALUE!</v>
      </c>
    </row>
    <row r="128" customHeight="1" spans="2:8">
      <c r="B128" s="18" t="s">
        <v>1757</v>
      </c>
      <c r="C128" s="19" t="s">
        <v>1696</v>
      </c>
      <c r="D128" s="20" t="s">
        <v>1700</v>
      </c>
      <c r="E128" s="13">
        <v>3.5</v>
      </c>
      <c r="F128" s="17"/>
      <c r="G128" s="15" t="e">
        <f>'服务BOQ（含在途、入场、现场服务工时、离场交接）'!$T$35</f>
        <v>#VALUE!</v>
      </c>
      <c r="H128" s="16" t="e">
        <f t="shared" si="1"/>
        <v>#VALUE!</v>
      </c>
    </row>
    <row r="129" customHeight="1" spans="2:8">
      <c r="B129" s="18" t="s">
        <v>1757</v>
      </c>
      <c r="C129" s="19" t="s">
        <v>1696</v>
      </c>
      <c r="D129" s="20" t="s">
        <v>1758</v>
      </c>
      <c r="E129" s="13">
        <v>3.5</v>
      </c>
      <c r="F129" s="17"/>
      <c r="G129" s="15" t="e">
        <f>'服务BOQ（含在途、入场、现场服务工时、离场交接）'!$T$35</f>
        <v>#VALUE!</v>
      </c>
      <c r="H129" s="16" t="e">
        <f t="shared" si="1"/>
        <v>#VALUE!</v>
      </c>
    </row>
    <row r="130" customHeight="1" spans="2:8">
      <c r="B130" s="18" t="s">
        <v>1757</v>
      </c>
      <c r="C130" s="19" t="s">
        <v>1696</v>
      </c>
      <c r="D130" s="20" t="s">
        <v>1759</v>
      </c>
      <c r="E130" s="13">
        <v>3.5</v>
      </c>
      <c r="F130" s="17"/>
      <c r="G130" s="15" t="e">
        <f>'服务BOQ（含在途、入场、现场服务工时、离场交接）'!$T$35</f>
        <v>#VALUE!</v>
      </c>
      <c r="H130" s="16" t="e">
        <f t="shared" si="1"/>
        <v>#VALUE!</v>
      </c>
    </row>
    <row r="131" customHeight="1" spans="2:8">
      <c r="B131" s="18" t="s">
        <v>1757</v>
      </c>
      <c r="C131" s="19" t="s">
        <v>1696</v>
      </c>
      <c r="D131" s="20" t="s">
        <v>1760</v>
      </c>
      <c r="E131" s="13">
        <v>3.5</v>
      </c>
      <c r="F131" s="17"/>
      <c r="G131" s="15" t="e">
        <f>'服务BOQ（含在途、入场、现场服务工时、离场交接）'!$T$35</f>
        <v>#VALUE!</v>
      </c>
      <c r="H131" s="16" t="e">
        <f t="shared" si="1"/>
        <v>#VALUE!</v>
      </c>
    </row>
    <row r="132" customHeight="1" spans="2:8">
      <c r="B132" s="18" t="s">
        <v>1757</v>
      </c>
      <c r="C132" s="19" t="s">
        <v>1696</v>
      </c>
      <c r="D132" s="20" t="s">
        <v>1761</v>
      </c>
      <c r="E132" s="13">
        <v>3.5</v>
      </c>
      <c r="F132" s="17"/>
      <c r="G132" s="15" t="e">
        <f>'服务BOQ（含在途、入场、现场服务工时、离场交接）'!$T$35</f>
        <v>#VALUE!</v>
      </c>
      <c r="H132" s="16" t="e">
        <f t="shared" si="1"/>
        <v>#VALUE!</v>
      </c>
    </row>
    <row r="133" customHeight="1" spans="2:8">
      <c r="B133" s="18" t="s">
        <v>1757</v>
      </c>
      <c r="C133" s="19" t="s">
        <v>1696</v>
      </c>
      <c r="D133" s="20" t="s">
        <v>1703</v>
      </c>
      <c r="E133" s="13" t="s">
        <v>1755</v>
      </c>
      <c r="F133" s="17" t="s">
        <v>1704</v>
      </c>
      <c r="G133" s="15" t="e">
        <f>'服务BOQ（含在途、入场、现场服务工时、离场交接）'!$T$35</f>
        <v>#VALUE!</v>
      </c>
      <c r="H133" s="16" t="e">
        <f t="shared" ref="H133:H196" si="2">G133+E133</f>
        <v>#VALUE!</v>
      </c>
    </row>
    <row r="134" customHeight="1" spans="2:8">
      <c r="B134" s="18" t="s">
        <v>1757</v>
      </c>
      <c r="C134" s="19" t="s">
        <v>1696</v>
      </c>
      <c r="D134" s="20" t="s">
        <v>1705</v>
      </c>
      <c r="E134" s="13" t="s">
        <v>1756</v>
      </c>
      <c r="F134" s="17" t="s">
        <v>1706</v>
      </c>
      <c r="G134" s="15" t="e">
        <f>'服务BOQ（含在途、入场、现场服务工时、离场交接）'!$T$35</f>
        <v>#VALUE!</v>
      </c>
      <c r="H134" s="16" t="e">
        <f t="shared" si="2"/>
        <v>#VALUE!</v>
      </c>
    </row>
    <row r="135" customHeight="1" spans="2:8">
      <c r="B135" s="18" t="s">
        <v>1757</v>
      </c>
      <c r="C135" s="19" t="s">
        <v>1696</v>
      </c>
      <c r="D135" s="20" t="s">
        <v>1707</v>
      </c>
      <c r="E135" s="13">
        <v>2.5</v>
      </c>
      <c r="F135" s="17"/>
      <c r="G135" s="15" t="e">
        <f>'服务BOQ（含在途、入场、现场服务工时、离场交接）'!$T$35</f>
        <v>#VALUE!</v>
      </c>
      <c r="H135" s="16" t="e">
        <f t="shared" si="2"/>
        <v>#VALUE!</v>
      </c>
    </row>
    <row r="136" customHeight="1" spans="2:8">
      <c r="B136" s="18" t="s">
        <v>1757</v>
      </c>
      <c r="C136" s="19" t="s">
        <v>1696</v>
      </c>
      <c r="D136" s="20" t="s">
        <v>1708</v>
      </c>
      <c r="E136" s="13">
        <v>2.5</v>
      </c>
      <c r="F136" s="17"/>
      <c r="G136" s="15" t="e">
        <f>'服务BOQ（含在途、入场、现场服务工时、离场交接）'!$T$35</f>
        <v>#VALUE!</v>
      </c>
      <c r="H136" s="16" t="e">
        <f t="shared" si="2"/>
        <v>#VALUE!</v>
      </c>
    </row>
    <row r="137" customHeight="1" spans="2:8">
      <c r="B137" s="18" t="s">
        <v>1757</v>
      </c>
      <c r="C137" s="19" t="s">
        <v>1696</v>
      </c>
      <c r="D137" s="20" t="s">
        <v>1709</v>
      </c>
      <c r="E137" s="13">
        <v>2.5</v>
      </c>
      <c r="F137" s="17"/>
      <c r="G137" s="15" t="e">
        <f>'服务BOQ（含在途、入场、现场服务工时、离场交接）'!$T$35</f>
        <v>#VALUE!</v>
      </c>
      <c r="H137" s="16" t="e">
        <f t="shared" si="2"/>
        <v>#VALUE!</v>
      </c>
    </row>
    <row r="138" customHeight="1" spans="2:8">
      <c r="B138" s="18" t="s">
        <v>1757</v>
      </c>
      <c r="C138" s="19" t="s">
        <v>1696</v>
      </c>
      <c r="D138" s="20" t="s">
        <v>1710</v>
      </c>
      <c r="E138" s="13">
        <v>1</v>
      </c>
      <c r="F138" s="17"/>
      <c r="G138" s="15" t="e">
        <f>'服务BOQ（含在途、入场、现场服务工时、离场交接）'!$T$35</f>
        <v>#VALUE!</v>
      </c>
      <c r="H138" s="16" t="e">
        <f t="shared" si="2"/>
        <v>#VALUE!</v>
      </c>
    </row>
    <row r="139" customHeight="1" spans="2:8">
      <c r="B139" s="18" t="s">
        <v>1757</v>
      </c>
      <c r="C139" s="19" t="s">
        <v>1696</v>
      </c>
      <c r="D139" s="20" t="s">
        <v>1711</v>
      </c>
      <c r="E139" s="13">
        <v>3.5</v>
      </c>
      <c r="F139" s="21"/>
      <c r="G139" s="15" t="e">
        <f>'服务BOQ（含在途、入场、现场服务工时、离场交接）'!$T$35</f>
        <v>#VALUE!</v>
      </c>
      <c r="H139" s="16" t="e">
        <f t="shared" si="2"/>
        <v>#VALUE!</v>
      </c>
    </row>
    <row r="140" customHeight="1" spans="2:8">
      <c r="B140" s="18" t="s">
        <v>1757</v>
      </c>
      <c r="C140" s="19" t="s">
        <v>1696</v>
      </c>
      <c r="D140" s="20" t="s">
        <v>1712</v>
      </c>
      <c r="E140" s="13">
        <v>2.5</v>
      </c>
      <c r="F140" s="14"/>
      <c r="G140" s="15" t="e">
        <f>'服务BOQ（含在途、入场、现场服务工时、离场交接）'!$T$35</f>
        <v>#VALUE!</v>
      </c>
      <c r="H140" s="16" t="e">
        <f t="shared" si="2"/>
        <v>#VALUE!</v>
      </c>
    </row>
    <row r="141" customHeight="1" spans="2:8">
      <c r="B141" s="18" t="s">
        <v>1757</v>
      </c>
      <c r="C141" s="19" t="s">
        <v>1696</v>
      </c>
      <c r="D141" s="20" t="s">
        <v>1714</v>
      </c>
      <c r="E141" s="13">
        <v>15.5</v>
      </c>
      <c r="F141" s="21"/>
      <c r="G141" s="15" t="e">
        <f>'服务BOQ（含在途、入场、现场服务工时、离场交接）'!$T$35</f>
        <v>#VALUE!</v>
      </c>
      <c r="H141" s="16" t="e">
        <f t="shared" si="2"/>
        <v>#VALUE!</v>
      </c>
    </row>
    <row r="142" customHeight="1" spans="2:8">
      <c r="B142" s="18" t="s">
        <v>1757</v>
      </c>
      <c r="C142" s="19" t="s">
        <v>1696</v>
      </c>
      <c r="D142" s="20" t="s">
        <v>1762</v>
      </c>
      <c r="E142" s="13">
        <v>1.25</v>
      </c>
      <c r="F142" s="21"/>
      <c r="G142" s="15" t="e">
        <f>'服务BOQ（含在途、入场、现场服务工时、离场交接）'!$T$35</f>
        <v>#VALUE!</v>
      </c>
      <c r="H142" s="16" t="e">
        <f t="shared" si="2"/>
        <v>#VALUE!</v>
      </c>
    </row>
    <row r="143" customHeight="1" spans="2:8">
      <c r="B143" s="18" t="s">
        <v>1757</v>
      </c>
      <c r="C143" s="19" t="s">
        <v>1696</v>
      </c>
      <c r="D143" s="20" t="s">
        <v>1716</v>
      </c>
      <c r="E143" s="13">
        <v>1.25</v>
      </c>
      <c r="F143" s="21"/>
      <c r="G143" s="15" t="e">
        <f>'服务BOQ（含在途、入场、现场服务工时、离场交接）'!$T$35</f>
        <v>#VALUE!</v>
      </c>
      <c r="H143" s="16" t="e">
        <f t="shared" si="2"/>
        <v>#VALUE!</v>
      </c>
    </row>
    <row r="144" customHeight="1" spans="2:8">
      <c r="B144" s="18" t="s">
        <v>1757</v>
      </c>
      <c r="C144" s="19" t="s">
        <v>1696</v>
      </c>
      <c r="D144" s="20" t="s">
        <v>1717</v>
      </c>
      <c r="E144" s="13">
        <v>1.25</v>
      </c>
      <c r="F144" s="17"/>
      <c r="G144" s="15" t="e">
        <f>'服务BOQ（含在途、入场、现场服务工时、离场交接）'!$T$35</f>
        <v>#VALUE!</v>
      </c>
      <c r="H144" s="16" t="e">
        <f t="shared" si="2"/>
        <v>#VALUE!</v>
      </c>
    </row>
    <row r="145" customHeight="1" spans="2:8">
      <c r="B145" s="18" t="s">
        <v>1757</v>
      </c>
      <c r="C145" s="19" t="s">
        <v>1696</v>
      </c>
      <c r="D145" s="20" t="s">
        <v>1718</v>
      </c>
      <c r="E145" s="13">
        <v>1.25</v>
      </c>
      <c r="F145" s="21"/>
      <c r="G145" s="15" t="e">
        <f>'服务BOQ（含在途、入场、现场服务工时、离场交接）'!$T$35</f>
        <v>#VALUE!</v>
      </c>
      <c r="H145" s="16" t="e">
        <f t="shared" si="2"/>
        <v>#VALUE!</v>
      </c>
    </row>
    <row r="146" customHeight="1" spans="2:8">
      <c r="B146" s="18" t="s">
        <v>1757</v>
      </c>
      <c r="C146" s="19" t="s">
        <v>1696</v>
      </c>
      <c r="D146" s="20" t="s">
        <v>1719</v>
      </c>
      <c r="E146" s="13">
        <v>1.25</v>
      </c>
      <c r="F146" s="21"/>
      <c r="G146" s="15" t="e">
        <f>'服务BOQ（含在途、入场、现场服务工时、离场交接）'!$T$35</f>
        <v>#VALUE!</v>
      </c>
      <c r="H146" s="16" t="e">
        <f t="shared" si="2"/>
        <v>#VALUE!</v>
      </c>
    </row>
    <row r="147" customHeight="1" spans="2:8">
      <c r="B147" s="18" t="s">
        <v>1757</v>
      </c>
      <c r="C147" s="19" t="s">
        <v>1696</v>
      </c>
      <c r="D147" s="20" t="s">
        <v>1763</v>
      </c>
      <c r="E147" s="13">
        <v>1.25</v>
      </c>
      <c r="F147" s="21"/>
      <c r="G147" s="15" t="e">
        <f>'服务BOQ（含在途、入场、现场服务工时、离场交接）'!$T$35</f>
        <v>#VALUE!</v>
      </c>
      <c r="H147" s="16" t="e">
        <f t="shared" si="2"/>
        <v>#VALUE!</v>
      </c>
    </row>
    <row r="148" customHeight="1" spans="2:8">
      <c r="B148" s="18" t="s">
        <v>1757</v>
      </c>
      <c r="C148" s="19" t="s">
        <v>1696</v>
      </c>
      <c r="D148" s="20" t="s">
        <v>1723</v>
      </c>
      <c r="E148" s="13">
        <v>1.75</v>
      </c>
      <c r="F148" s="21"/>
      <c r="G148" s="15" t="e">
        <f>'服务BOQ（含在途、入场、现场服务工时、离场交接）'!$T$35</f>
        <v>#VALUE!</v>
      </c>
      <c r="H148" s="16" t="e">
        <f t="shared" si="2"/>
        <v>#VALUE!</v>
      </c>
    </row>
    <row r="149" customHeight="1" spans="2:8">
      <c r="B149" s="22" t="s">
        <v>1757</v>
      </c>
      <c r="C149" s="23" t="s">
        <v>1696</v>
      </c>
      <c r="D149" s="24" t="s">
        <v>1729</v>
      </c>
      <c r="E149" s="25">
        <v>0.5</v>
      </c>
      <c r="F149" s="26" t="s">
        <v>1764</v>
      </c>
      <c r="G149" s="27" t="e">
        <f>'服务BOQ（含在途、入场、现场服务工时、离场交接）'!$T$35</f>
        <v>#VALUE!</v>
      </c>
      <c r="H149" s="28" t="e">
        <f t="shared" si="2"/>
        <v>#VALUE!</v>
      </c>
    </row>
    <row r="150" customHeight="1" spans="2:8">
      <c r="B150" s="22" t="s">
        <v>1757</v>
      </c>
      <c r="C150" s="23" t="s">
        <v>1696</v>
      </c>
      <c r="D150" s="24" t="s">
        <v>1729</v>
      </c>
      <c r="E150" s="25">
        <v>0.5</v>
      </c>
      <c r="F150" s="29"/>
      <c r="G150" s="27" t="e">
        <f>'服务BOQ（含在途、入场、现场服务工时、离场交接）'!$T$35</f>
        <v>#VALUE!</v>
      </c>
      <c r="H150" s="28" t="e">
        <f t="shared" si="2"/>
        <v>#VALUE!</v>
      </c>
    </row>
    <row r="151" customHeight="1" spans="2:8">
      <c r="B151" s="22" t="s">
        <v>1757</v>
      </c>
      <c r="C151" s="23" t="s">
        <v>1696</v>
      </c>
      <c r="D151" s="24" t="s">
        <v>1729</v>
      </c>
      <c r="E151" s="25">
        <v>0.5</v>
      </c>
      <c r="F151" s="29"/>
      <c r="G151" s="27" t="e">
        <f>'服务BOQ（含在途、入场、现场服务工时、离场交接）'!$T$35</f>
        <v>#VALUE!</v>
      </c>
      <c r="H151" s="28" t="e">
        <f t="shared" si="2"/>
        <v>#VALUE!</v>
      </c>
    </row>
    <row r="152" customHeight="1" spans="2:8">
      <c r="B152" s="22" t="s">
        <v>1757</v>
      </c>
      <c r="C152" s="23" t="s">
        <v>1696</v>
      </c>
      <c r="D152" s="24" t="s">
        <v>1729</v>
      </c>
      <c r="E152" s="25">
        <v>0.5</v>
      </c>
      <c r="F152" s="29"/>
      <c r="G152" s="27" t="e">
        <f>'服务BOQ（含在途、入场、现场服务工时、离场交接）'!$T$35</f>
        <v>#VALUE!</v>
      </c>
      <c r="H152" s="28" t="e">
        <f t="shared" si="2"/>
        <v>#VALUE!</v>
      </c>
    </row>
    <row r="153" customHeight="1" spans="2:8">
      <c r="B153" s="22" t="s">
        <v>1757</v>
      </c>
      <c r="C153" s="23" t="s">
        <v>1696</v>
      </c>
      <c r="D153" s="24" t="s">
        <v>1729</v>
      </c>
      <c r="E153" s="25">
        <v>0.5</v>
      </c>
      <c r="F153" s="29"/>
      <c r="G153" s="27" t="e">
        <f>'服务BOQ（含在途、入场、现场服务工时、离场交接）'!$T$35</f>
        <v>#VALUE!</v>
      </c>
      <c r="H153" s="28" t="e">
        <f t="shared" si="2"/>
        <v>#VALUE!</v>
      </c>
    </row>
    <row r="154" customHeight="1" spans="2:8">
      <c r="B154" s="22" t="s">
        <v>1757</v>
      </c>
      <c r="C154" s="23" t="s">
        <v>1696</v>
      </c>
      <c r="D154" s="24" t="s">
        <v>1729</v>
      </c>
      <c r="E154" s="25">
        <v>0.5</v>
      </c>
      <c r="F154" s="29"/>
      <c r="G154" s="27" t="e">
        <f>'服务BOQ（含在途、入场、现场服务工时、离场交接）'!$T$35</f>
        <v>#VALUE!</v>
      </c>
      <c r="H154" s="28" t="e">
        <f t="shared" si="2"/>
        <v>#VALUE!</v>
      </c>
    </row>
    <row r="155" customHeight="1" spans="2:8">
      <c r="B155" s="18" t="s">
        <v>1757</v>
      </c>
      <c r="C155" s="19" t="s">
        <v>1696</v>
      </c>
      <c r="D155" s="20" t="s">
        <v>1726</v>
      </c>
      <c r="E155" s="13">
        <v>1.5</v>
      </c>
      <c r="F155" s="21"/>
      <c r="G155" s="15" t="e">
        <f>'服务BOQ（含在途、入场、现场服务工时、离场交接）'!$T$35</f>
        <v>#VALUE!</v>
      </c>
      <c r="H155" s="16" t="e">
        <f t="shared" si="2"/>
        <v>#VALUE!</v>
      </c>
    </row>
    <row r="156" customHeight="1" spans="2:8">
      <c r="B156" s="18" t="s">
        <v>1757</v>
      </c>
      <c r="C156" s="19" t="s">
        <v>1696</v>
      </c>
      <c r="D156" s="20" t="s">
        <v>1730</v>
      </c>
      <c r="E156" s="13">
        <v>1.25</v>
      </c>
      <c r="F156" s="17"/>
      <c r="G156" s="15" t="e">
        <f>'服务BOQ（含在途、入场、现场服务工时、离场交接）'!$T$35</f>
        <v>#VALUE!</v>
      </c>
      <c r="H156" s="16" t="e">
        <f t="shared" si="2"/>
        <v>#VALUE!</v>
      </c>
    </row>
    <row r="157" customHeight="1" spans="2:8">
      <c r="B157" s="18" t="s">
        <v>1757</v>
      </c>
      <c r="C157" s="19" t="s">
        <v>1696</v>
      </c>
      <c r="D157" s="20" t="s">
        <v>1731</v>
      </c>
      <c r="E157" s="13">
        <v>1.25</v>
      </c>
      <c r="F157" s="21"/>
      <c r="G157" s="15" t="e">
        <f>'服务BOQ（含在途、入场、现场服务工时、离场交接）'!$T$35</f>
        <v>#VALUE!</v>
      </c>
      <c r="H157" s="16" t="e">
        <f t="shared" si="2"/>
        <v>#VALUE!</v>
      </c>
    </row>
    <row r="158" customHeight="1" spans="2:8">
      <c r="B158" s="18" t="s">
        <v>1757</v>
      </c>
      <c r="C158" s="19" t="s">
        <v>1696</v>
      </c>
      <c r="D158" s="20" t="s">
        <v>1765</v>
      </c>
      <c r="E158" s="13">
        <v>1.25</v>
      </c>
      <c r="F158" s="17"/>
      <c r="G158" s="15" t="e">
        <f>'服务BOQ（含在途、入场、现场服务工时、离场交接）'!$T$35</f>
        <v>#VALUE!</v>
      </c>
      <c r="H158" s="16" t="e">
        <f t="shared" si="2"/>
        <v>#VALUE!</v>
      </c>
    </row>
    <row r="159" customHeight="1" spans="2:8">
      <c r="B159" s="18" t="s">
        <v>1757</v>
      </c>
      <c r="C159" s="19" t="s">
        <v>1696</v>
      </c>
      <c r="D159" s="20" t="s">
        <v>1766</v>
      </c>
      <c r="E159" s="13">
        <v>1.25</v>
      </c>
      <c r="F159" s="21"/>
      <c r="G159" s="15" t="e">
        <f>'服务BOQ（含在途、入场、现场服务工时、离场交接）'!$T$35</f>
        <v>#VALUE!</v>
      </c>
      <c r="H159" s="16" t="e">
        <f t="shared" si="2"/>
        <v>#VALUE!</v>
      </c>
    </row>
    <row r="160" customHeight="1" spans="2:8">
      <c r="B160" s="18" t="s">
        <v>1757</v>
      </c>
      <c r="C160" s="19" t="s">
        <v>1696</v>
      </c>
      <c r="D160" s="20" t="s">
        <v>1767</v>
      </c>
      <c r="E160" s="13">
        <v>1.05</v>
      </c>
      <c r="F160" s="17"/>
      <c r="G160" s="15" t="e">
        <f>'服务BOQ（含在途、入场、现场服务工时、离场交接）'!$T$35</f>
        <v>#VALUE!</v>
      </c>
      <c r="H160" s="16" t="e">
        <f t="shared" si="2"/>
        <v>#VALUE!</v>
      </c>
    </row>
    <row r="161" customHeight="1" spans="2:8">
      <c r="B161" s="18" t="s">
        <v>1757</v>
      </c>
      <c r="C161" s="19" t="s">
        <v>1696</v>
      </c>
      <c r="D161" s="20" t="s">
        <v>1732</v>
      </c>
      <c r="E161" s="13">
        <v>3.5</v>
      </c>
      <c r="F161" s="21"/>
      <c r="G161" s="15" t="e">
        <f>'服务BOQ（含在途、入场、现场服务工时、离场交接）'!$T$35</f>
        <v>#VALUE!</v>
      </c>
      <c r="H161" s="16" t="e">
        <f t="shared" si="2"/>
        <v>#VALUE!</v>
      </c>
    </row>
    <row r="162" customHeight="1" spans="2:8">
      <c r="B162" s="18" t="s">
        <v>1757</v>
      </c>
      <c r="C162" s="19" t="s">
        <v>1696</v>
      </c>
      <c r="D162" s="20" t="s">
        <v>1733</v>
      </c>
      <c r="E162" s="13">
        <v>2.25</v>
      </c>
      <c r="F162" s="21"/>
      <c r="G162" s="15" t="e">
        <f>'服务BOQ（含在途、入场、现场服务工时、离场交接）'!$T$35</f>
        <v>#VALUE!</v>
      </c>
      <c r="H162" s="16" t="e">
        <f t="shared" si="2"/>
        <v>#VALUE!</v>
      </c>
    </row>
    <row r="163" customHeight="1" spans="2:8">
      <c r="B163" s="18" t="s">
        <v>1757</v>
      </c>
      <c r="C163" s="19" t="s">
        <v>1696</v>
      </c>
      <c r="D163" s="20" t="s">
        <v>1734</v>
      </c>
      <c r="E163" s="13">
        <v>3.5</v>
      </c>
      <c r="F163" s="21"/>
      <c r="G163" s="15" t="e">
        <f>'服务BOQ（含在途、入场、现场服务工时、离场交接）'!$T$35</f>
        <v>#VALUE!</v>
      </c>
      <c r="H163" s="16" t="e">
        <f t="shared" si="2"/>
        <v>#VALUE!</v>
      </c>
    </row>
    <row r="164" customHeight="1" spans="2:8">
      <c r="B164" s="18" t="s">
        <v>1757</v>
      </c>
      <c r="C164" s="19" t="s">
        <v>722</v>
      </c>
      <c r="D164" s="20" t="s">
        <v>1710</v>
      </c>
      <c r="E164" s="13">
        <v>1.2</v>
      </c>
      <c r="F164" s="21"/>
      <c r="G164" s="15" t="e">
        <f>'服务BOQ（含在途、入场、现场服务工时、离场交接）'!$T$35</f>
        <v>#VALUE!</v>
      </c>
      <c r="H164" s="16" t="e">
        <f t="shared" si="2"/>
        <v>#VALUE!</v>
      </c>
    </row>
    <row r="165" customHeight="1" spans="2:8">
      <c r="B165" s="18" t="s">
        <v>1757</v>
      </c>
      <c r="C165" s="19" t="s">
        <v>722</v>
      </c>
      <c r="D165" s="11" t="s">
        <v>1720</v>
      </c>
      <c r="E165" s="13">
        <v>1.5</v>
      </c>
      <c r="F165" s="21"/>
      <c r="G165" s="15" t="e">
        <f>'服务BOQ（含在途、入场、现场服务工时、离场交接）'!$T$35</f>
        <v>#VALUE!</v>
      </c>
      <c r="H165" s="16" t="e">
        <f t="shared" si="2"/>
        <v>#VALUE!</v>
      </c>
    </row>
    <row r="166" customHeight="1" spans="2:8">
      <c r="B166" s="18" t="s">
        <v>1757</v>
      </c>
      <c r="C166" s="19" t="s">
        <v>722</v>
      </c>
      <c r="D166" s="20" t="s">
        <v>1749</v>
      </c>
      <c r="E166" s="13">
        <v>1.5</v>
      </c>
      <c r="F166" s="21"/>
      <c r="G166" s="15" t="e">
        <f>'服务BOQ（含在途、入场、现场服务工时、离场交接）'!$T$35</f>
        <v>#VALUE!</v>
      </c>
      <c r="H166" s="16" t="e">
        <f t="shared" si="2"/>
        <v>#VALUE!</v>
      </c>
    </row>
    <row r="167" customHeight="1" spans="2:8">
      <c r="B167" s="18" t="s">
        <v>1757</v>
      </c>
      <c r="C167" s="19" t="s">
        <v>722</v>
      </c>
      <c r="D167" s="20" t="s">
        <v>1768</v>
      </c>
      <c r="E167" s="13">
        <v>4</v>
      </c>
      <c r="F167" s="21"/>
      <c r="G167" s="15" t="e">
        <f>'服务BOQ（含在途、入场、现场服务工时、离场交接）'!$T$35</f>
        <v>#VALUE!</v>
      </c>
      <c r="H167" s="16" t="e">
        <f t="shared" si="2"/>
        <v>#VALUE!</v>
      </c>
    </row>
    <row r="168" customHeight="1" spans="2:8">
      <c r="B168" s="18" t="s">
        <v>1757</v>
      </c>
      <c r="C168" s="19" t="s">
        <v>722</v>
      </c>
      <c r="D168" s="20" t="s">
        <v>1769</v>
      </c>
      <c r="E168" s="13">
        <v>2</v>
      </c>
      <c r="F168" s="21"/>
      <c r="G168" s="15" t="e">
        <f>'服务BOQ（含在途、入场、现场服务工时、离场交接）'!$T$35</f>
        <v>#VALUE!</v>
      </c>
      <c r="H168" s="16" t="e">
        <f t="shared" si="2"/>
        <v>#VALUE!</v>
      </c>
    </row>
    <row r="169" customHeight="1" spans="2:8">
      <c r="B169" s="18" t="s">
        <v>1757</v>
      </c>
      <c r="C169" s="19" t="s">
        <v>722</v>
      </c>
      <c r="D169" s="20" t="s">
        <v>1770</v>
      </c>
      <c r="E169" s="13">
        <v>2.5</v>
      </c>
      <c r="F169" s="21"/>
      <c r="G169" s="15" t="e">
        <f>'服务BOQ（含在途、入场、现场服务工时、离场交接）'!$T$35</f>
        <v>#VALUE!</v>
      </c>
      <c r="H169" s="16" t="e">
        <f t="shared" si="2"/>
        <v>#VALUE!</v>
      </c>
    </row>
    <row r="170" customHeight="1" spans="2:8">
      <c r="B170" s="18" t="s">
        <v>1757</v>
      </c>
      <c r="C170" s="19" t="s">
        <v>722</v>
      </c>
      <c r="D170" s="20" t="s">
        <v>1771</v>
      </c>
      <c r="E170" s="13">
        <v>2</v>
      </c>
      <c r="F170" s="21"/>
      <c r="G170" s="15" t="e">
        <f>'服务BOQ（含在途、入场、现场服务工时、离场交接）'!$T$35</f>
        <v>#VALUE!</v>
      </c>
      <c r="H170" s="16" t="e">
        <f t="shared" si="2"/>
        <v>#VALUE!</v>
      </c>
    </row>
    <row r="171" customHeight="1" spans="2:8">
      <c r="B171" s="18" t="s">
        <v>1757</v>
      </c>
      <c r="C171" s="19" t="s">
        <v>722</v>
      </c>
      <c r="D171" s="20" t="s">
        <v>1772</v>
      </c>
      <c r="E171" s="13">
        <v>2</v>
      </c>
      <c r="F171" s="21"/>
      <c r="G171" s="15" t="e">
        <f>'服务BOQ（含在途、入场、现场服务工时、离场交接）'!$T$35</f>
        <v>#VALUE!</v>
      </c>
      <c r="H171" s="16" t="e">
        <f t="shared" si="2"/>
        <v>#VALUE!</v>
      </c>
    </row>
    <row r="172" customHeight="1" spans="2:8">
      <c r="B172" s="18" t="s">
        <v>1757</v>
      </c>
      <c r="C172" s="19" t="s">
        <v>722</v>
      </c>
      <c r="D172" s="20" t="s">
        <v>1773</v>
      </c>
      <c r="E172" s="13">
        <v>3</v>
      </c>
      <c r="F172" s="21"/>
      <c r="G172" s="15" t="e">
        <f>'服务BOQ（含在途、入场、现场服务工时、离场交接）'!$T$35</f>
        <v>#VALUE!</v>
      </c>
      <c r="H172" s="16" t="e">
        <f t="shared" si="2"/>
        <v>#VALUE!</v>
      </c>
    </row>
    <row r="173" customHeight="1" spans="2:8">
      <c r="B173" s="18" t="s">
        <v>1757</v>
      </c>
      <c r="C173" s="19" t="s">
        <v>722</v>
      </c>
      <c r="D173" s="20" t="s">
        <v>1774</v>
      </c>
      <c r="E173" s="13">
        <v>1.5</v>
      </c>
      <c r="F173" s="21"/>
      <c r="G173" s="15" t="e">
        <f>'服务BOQ（含在途、入场、现场服务工时、离场交接）'!$T$35</f>
        <v>#VALUE!</v>
      </c>
      <c r="H173" s="16" t="e">
        <f t="shared" si="2"/>
        <v>#VALUE!</v>
      </c>
    </row>
    <row r="174" customHeight="1" spans="2:8">
      <c r="B174" s="18" t="s">
        <v>1757</v>
      </c>
      <c r="C174" s="19" t="s">
        <v>722</v>
      </c>
      <c r="D174" s="20" t="s">
        <v>1775</v>
      </c>
      <c r="E174" s="13">
        <v>1.5</v>
      </c>
      <c r="F174" s="30"/>
      <c r="G174" s="15" t="e">
        <f>'服务BOQ（含在途、入场、现场服务工时、离场交接）'!$T$35</f>
        <v>#VALUE!</v>
      </c>
      <c r="H174" s="16" t="e">
        <f t="shared" si="2"/>
        <v>#VALUE!</v>
      </c>
    </row>
    <row r="175" customHeight="1" spans="2:8">
      <c r="B175" s="18" t="s">
        <v>1757</v>
      </c>
      <c r="C175" s="19" t="s">
        <v>722</v>
      </c>
      <c r="D175" s="20" t="s">
        <v>1776</v>
      </c>
      <c r="E175" s="13">
        <v>1.5</v>
      </c>
      <c r="F175" s="31"/>
      <c r="G175" s="15" t="e">
        <f>'服务BOQ（含在途、入场、现场服务工时、离场交接）'!$T$35</f>
        <v>#VALUE!</v>
      </c>
      <c r="H175" s="16" t="e">
        <f t="shared" si="2"/>
        <v>#VALUE!</v>
      </c>
    </row>
    <row r="176" customHeight="1" spans="2:8">
      <c r="B176" s="18" t="s">
        <v>1757</v>
      </c>
      <c r="C176" s="19" t="s">
        <v>722</v>
      </c>
      <c r="D176" s="20" t="s">
        <v>1777</v>
      </c>
      <c r="E176" s="13">
        <v>1.5</v>
      </c>
      <c r="F176" s="31"/>
      <c r="G176" s="15" t="e">
        <f>'服务BOQ（含在途、入场、现场服务工时、离场交接）'!$T$35</f>
        <v>#VALUE!</v>
      </c>
      <c r="H176" s="16" t="e">
        <f t="shared" si="2"/>
        <v>#VALUE!</v>
      </c>
    </row>
    <row r="177" customHeight="1" spans="2:8">
      <c r="B177" s="18" t="s">
        <v>1757</v>
      </c>
      <c r="C177" s="19" t="s">
        <v>722</v>
      </c>
      <c r="D177" s="20" t="s">
        <v>1778</v>
      </c>
      <c r="E177" s="13">
        <v>4</v>
      </c>
      <c r="F177" s="31"/>
      <c r="G177" s="15" t="e">
        <f>'服务BOQ（含在途、入场、现场服务工时、离场交接）'!$T$35</f>
        <v>#VALUE!</v>
      </c>
      <c r="H177" s="16" t="e">
        <f t="shared" si="2"/>
        <v>#VALUE!</v>
      </c>
    </row>
    <row r="178" customHeight="1" spans="2:8">
      <c r="B178" s="18" t="s">
        <v>1757</v>
      </c>
      <c r="C178" s="19" t="s">
        <v>722</v>
      </c>
      <c r="D178" s="20" t="s">
        <v>1779</v>
      </c>
      <c r="E178" s="13">
        <v>2.5</v>
      </c>
      <c r="F178" s="31"/>
      <c r="G178" s="15" t="e">
        <f>'服务BOQ（含在途、入场、现场服务工时、离场交接）'!$T$35</f>
        <v>#VALUE!</v>
      </c>
      <c r="H178" s="16" t="e">
        <f t="shared" si="2"/>
        <v>#VALUE!</v>
      </c>
    </row>
    <row r="179" customHeight="1" spans="2:8">
      <c r="B179" s="18" t="s">
        <v>1757</v>
      </c>
      <c r="C179" s="19" t="s">
        <v>722</v>
      </c>
      <c r="D179" s="20" t="s">
        <v>1780</v>
      </c>
      <c r="E179" s="13">
        <v>2</v>
      </c>
      <c r="F179" s="31"/>
      <c r="G179" s="15" t="e">
        <f>'服务BOQ（含在途、入场、现场服务工时、离场交接）'!$T$35</f>
        <v>#VALUE!</v>
      </c>
      <c r="H179" s="16" t="e">
        <f t="shared" si="2"/>
        <v>#VALUE!</v>
      </c>
    </row>
    <row r="180" customHeight="1" spans="2:8">
      <c r="B180" s="18" t="s">
        <v>1757</v>
      </c>
      <c r="C180" s="19" t="s">
        <v>722</v>
      </c>
      <c r="D180" s="20" t="s">
        <v>1781</v>
      </c>
      <c r="E180" s="13">
        <v>4</v>
      </c>
      <c r="F180" s="31"/>
      <c r="G180" s="15" t="e">
        <f>'服务BOQ（含在途、入场、现场服务工时、离场交接）'!$T$35</f>
        <v>#VALUE!</v>
      </c>
      <c r="H180" s="16" t="e">
        <f t="shared" si="2"/>
        <v>#VALUE!</v>
      </c>
    </row>
    <row r="181" customHeight="1" spans="2:8">
      <c r="B181" s="18" t="s">
        <v>1757</v>
      </c>
      <c r="C181" s="19" t="s">
        <v>722</v>
      </c>
      <c r="D181" s="20" t="s">
        <v>1782</v>
      </c>
      <c r="E181" s="13">
        <v>7</v>
      </c>
      <c r="F181" s="31"/>
      <c r="G181" s="15" t="e">
        <f>'服务BOQ（含在途、入场、现场服务工时、离场交接）'!$T$35</f>
        <v>#VALUE!</v>
      </c>
      <c r="H181" s="16" t="e">
        <f t="shared" si="2"/>
        <v>#VALUE!</v>
      </c>
    </row>
    <row r="182" customHeight="1" spans="2:8">
      <c r="B182" s="18" t="s">
        <v>1757</v>
      </c>
      <c r="C182" s="19" t="s">
        <v>722</v>
      </c>
      <c r="D182" s="20" t="s">
        <v>1783</v>
      </c>
      <c r="E182" s="13">
        <v>6</v>
      </c>
      <c r="F182" s="31"/>
      <c r="G182" s="15" t="e">
        <f>'服务BOQ（含在途、入场、现场服务工时、离场交接）'!$T$35</f>
        <v>#VALUE!</v>
      </c>
      <c r="H182" s="16" t="e">
        <f t="shared" si="2"/>
        <v>#VALUE!</v>
      </c>
    </row>
    <row r="183" customHeight="1" spans="2:8">
      <c r="B183" s="18" t="s">
        <v>1757</v>
      </c>
      <c r="C183" s="19" t="s">
        <v>722</v>
      </c>
      <c r="D183" s="20" t="s">
        <v>1784</v>
      </c>
      <c r="E183" s="13">
        <v>3</v>
      </c>
      <c r="F183" s="31"/>
      <c r="G183" s="15" t="e">
        <f>'服务BOQ（含在途、入场、现场服务工时、离场交接）'!$T$35</f>
        <v>#VALUE!</v>
      </c>
      <c r="H183" s="16" t="e">
        <f t="shared" si="2"/>
        <v>#VALUE!</v>
      </c>
    </row>
    <row r="184" customHeight="1" spans="2:8">
      <c r="B184" s="18" t="s">
        <v>1757</v>
      </c>
      <c r="C184" s="19" t="s">
        <v>722</v>
      </c>
      <c r="D184" s="20" t="s">
        <v>1707</v>
      </c>
      <c r="E184" s="13">
        <v>4</v>
      </c>
      <c r="F184" s="31"/>
      <c r="G184" s="15" t="e">
        <f>'服务BOQ（含在途、入场、现场服务工时、离场交接）'!$T$35</f>
        <v>#VALUE!</v>
      </c>
      <c r="H184" s="16" t="e">
        <f t="shared" si="2"/>
        <v>#VALUE!</v>
      </c>
    </row>
    <row r="185" customHeight="1" spans="2:8">
      <c r="B185" s="18" t="s">
        <v>1757</v>
      </c>
      <c r="C185" s="19" t="s">
        <v>722</v>
      </c>
      <c r="D185" s="20" t="s">
        <v>1785</v>
      </c>
      <c r="E185" s="13">
        <v>2</v>
      </c>
      <c r="F185" s="31"/>
      <c r="G185" s="15" t="e">
        <f>'服务BOQ（含在途、入场、现场服务工时、离场交接）'!$T$35</f>
        <v>#VALUE!</v>
      </c>
      <c r="H185" s="16" t="e">
        <f t="shared" si="2"/>
        <v>#VALUE!</v>
      </c>
    </row>
    <row r="186" customHeight="1" spans="2:8">
      <c r="B186" s="18" t="s">
        <v>1757</v>
      </c>
      <c r="C186" s="19" t="s">
        <v>722</v>
      </c>
      <c r="D186" s="20" t="s">
        <v>1786</v>
      </c>
      <c r="E186" s="13">
        <v>1.5</v>
      </c>
      <c r="F186" s="21"/>
      <c r="G186" s="15" t="e">
        <f>'服务BOQ（含在途、入场、现场服务工时、离场交接）'!$T$35</f>
        <v>#VALUE!</v>
      </c>
      <c r="H186" s="16" t="e">
        <f t="shared" si="2"/>
        <v>#VALUE!</v>
      </c>
    </row>
    <row r="187" customHeight="1" spans="2:8">
      <c r="B187" s="18" t="s">
        <v>1757</v>
      </c>
      <c r="C187" s="19" t="s">
        <v>722</v>
      </c>
      <c r="D187" s="20" t="s">
        <v>1787</v>
      </c>
      <c r="E187" s="13">
        <v>1.5</v>
      </c>
      <c r="F187" s="30"/>
      <c r="G187" s="15" t="e">
        <f>'服务BOQ（含在途、入场、现场服务工时、离场交接）'!$T$35</f>
        <v>#VALUE!</v>
      </c>
      <c r="H187" s="16" t="e">
        <f t="shared" si="2"/>
        <v>#VALUE!</v>
      </c>
    </row>
    <row r="188" customHeight="1" spans="2:8">
      <c r="B188" s="18" t="s">
        <v>1757</v>
      </c>
      <c r="C188" s="19" t="s">
        <v>722</v>
      </c>
      <c r="D188" s="20" t="s">
        <v>1788</v>
      </c>
      <c r="E188" s="13">
        <v>1.5</v>
      </c>
      <c r="F188" s="31"/>
      <c r="G188" s="15" t="e">
        <f>'服务BOQ（含在途、入场、现场服务工时、离场交接）'!$T$35</f>
        <v>#VALUE!</v>
      </c>
      <c r="H188" s="16" t="e">
        <f t="shared" si="2"/>
        <v>#VALUE!</v>
      </c>
    </row>
    <row r="189" customHeight="1" spans="2:8">
      <c r="B189" s="18" t="s">
        <v>1757</v>
      </c>
      <c r="C189" s="19" t="s">
        <v>722</v>
      </c>
      <c r="D189" s="20" t="s">
        <v>1789</v>
      </c>
      <c r="E189" s="13">
        <v>1.5</v>
      </c>
      <c r="F189" s="31"/>
      <c r="G189" s="15" t="e">
        <f>'服务BOQ（含在途、入场、现场服务工时、离场交接）'!$T$35</f>
        <v>#VALUE!</v>
      </c>
      <c r="H189" s="16" t="e">
        <f t="shared" si="2"/>
        <v>#VALUE!</v>
      </c>
    </row>
    <row r="190" customHeight="1" spans="2:8">
      <c r="B190" s="18" t="s">
        <v>1757</v>
      </c>
      <c r="C190" s="19" t="s">
        <v>722</v>
      </c>
      <c r="D190" s="20" t="s">
        <v>1790</v>
      </c>
      <c r="E190" s="13">
        <v>1.5</v>
      </c>
      <c r="F190" s="31"/>
      <c r="G190" s="15" t="e">
        <f>'服务BOQ（含在途、入场、现场服务工时、离场交接）'!$T$35</f>
        <v>#VALUE!</v>
      </c>
      <c r="H190" s="16" t="e">
        <f t="shared" si="2"/>
        <v>#VALUE!</v>
      </c>
    </row>
    <row r="191" customHeight="1" spans="2:8">
      <c r="B191" s="18" t="s">
        <v>1757</v>
      </c>
      <c r="C191" s="19" t="s">
        <v>722</v>
      </c>
      <c r="D191" s="20" t="s">
        <v>1791</v>
      </c>
      <c r="E191" s="13">
        <v>1.5</v>
      </c>
      <c r="F191" s="31"/>
      <c r="G191" s="15" t="e">
        <f>'服务BOQ（含在途、入场、现场服务工时、离场交接）'!$T$35</f>
        <v>#VALUE!</v>
      </c>
      <c r="H191" s="16" t="e">
        <f t="shared" si="2"/>
        <v>#VALUE!</v>
      </c>
    </row>
    <row r="192" customHeight="1" spans="2:8">
      <c r="B192" s="18" t="s">
        <v>1757</v>
      </c>
      <c r="C192" s="19" t="s">
        <v>722</v>
      </c>
      <c r="D192" s="20" t="s">
        <v>1792</v>
      </c>
      <c r="E192" s="13">
        <v>1.5</v>
      </c>
      <c r="F192" s="31"/>
      <c r="G192" s="15" t="e">
        <f>'服务BOQ（含在途、入场、现场服务工时、离场交接）'!$T$35</f>
        <v>#VALUE!</v>
      </c>
      <c r="H192" s="16" t="e">
        <f t="shared" si="2"/>
        <v>#VALUE!</v>
      </c>
    </row>
    <row r="193" customHeight="1" spans="2:8">
      <c r="B193" s="18" t="s">
        <v>1757</v>
      </c>
      <c r="C193" s="19" t="s">
        <v>722</v>
      </c>
      <c r="D193" s="20" t="s">
        <v>1793</v>
      </c>
      <c r="E193" s="13">
        <v>1.5</v>
      </c>
      <c r="F193" s="31"/>
      <c r="G193" s="15" t="e">
        <f>'服务BOQ（含在途、入场、现场服务工时、离场交接）'!$T$35</f>
        <v>#VALUE!</v>
      </c>
      <c r="H193" s="16" t="e">
        <f t="shared" si="2"/>
        <v>#VALUE!</v>
      </c>
    </row>
    <row r="194" customHeight="1" spans="2:8">
      <c r="B194" s="18" t="s">
        <v>1757</v>
      </c>
      <c r="C194" s="19" t="s">
        <v>722</v>
      </c>
      <c r="D194" s="20" t="s">
        <v>1794</v>
      </c>
      <c r="E194" s="13">
        <v>1.5</v>
      </c>
      <c r="F194" s="31"/>
      <c r="G194" s="15" t="e">
        <f>'服务BOQ（含在途、入场、现场服务工时、离场交接）'!$T$35</f>
        <v>#VALUE!</v>
      </c>
      <c r="H194" s="16" t="e">
        <f t="shared" si="2"/>
        <v>#VALUE!</v>
      </c>
    </row>
    <row r="195" customHeight="1" spans="2:8">
      <c r="B195" s="18" t="s">
        <v>1757</v>
      </c>
      <c r="C195" s="19" t="s">
        <v>722</v>
      </c>
      <c r="D195" s="20" t="s">
        <v>1795</v>
      </c>
      <c r="E195" s="13">
        <v>1.5</v>
      </c>
      <c r="F195" s="31"/>
      <c r="G195" s="15" t="e">
        <f>'服务BOQ（含在途、入场、现场服务工时、离场交接）'!$T$35</f>
        <v>#VALUE!</v>
      </c>
      <c r="H195" s="16" t="e">
        <f t="shared" si="2"/>
        <v>#VALUE!</v>
      </c>
    </row>
    <row r="196" customHeight="1" spans="2:8">
      <c r="B196" s="18" t="s">
        <v>1757</v>
      </c>
      <c r="C196" s="19" t="s">
        <v>722</v>
      </c>
      <c r="D196" s="20" t="s">
        <v>1796</v>
      </c>
      <c r="E196" s="13">
        <v>1.5</v>
      </c>
      <c r="F196" s="31"/>
      <c r="G196" s="15" t="e">
        <f>'服务BOQ（含在途、入场、现场服务工时、离场交接）'!$T$35</f>
        <v>#VALUE!</v>
      </c>
      <c r="H196" s="16" t="e">
        <f t="shared" si="2"/>
        <v>#VALUE!</v>
      </c>
    </row>
    <row r="197" customHeight="1" spans="2:8">
      <c r="B197" s="18" t="s">
        <v>1757</v>
      </c>
      <c r="C197" s="19" t="s">
        <v>722</v>
      </c>
      <c r="D197" s="20" t="s">
        <v>1736</v>
      </c>
      <c r="E197" s="13">
        <v>2.5</v>
      </c>
      <c r="F197" s="21"/>
      <c r="G197" s="15" t="e">
        <f>'服务BOQ（含在途、入场、现场服务工时、离场交接）'!$T$35</f>
        <v>#VALUE!</v>
      </c>
      <c r="H197" s="16" t="e">
        <f t="shared" ref="H197:H210" si="3">G197+E197</f>
        <v>#VALUE!</v>
      </c>
    </row>
    <row r="198" customHeight="1" spans="2:8">
      <c r="B198" s="18" t="s">
        <v>1757</v>
      </c>
      <c r="C198" s="19" t="s">
        <v>722</v>
      </c>
      <c r="D198" s="20" t="s">
        <v>1797</v>
      </c>
      <c r="E198" s="13">
        <v>2</v>
      </c>
      <c r="F198" s="21"/>
      <c r="G198" s="15" t="e">
        <f>'服务BOQ（含在途、入场、现场服务工时、离场交接）'!$T$35</f>
        <v>#VALUE!</v>
      </c>
      <c r="H198" s="16" t="e">
        <f t="shared" si="3"/>
        <v>#VALUE!</v>
      </c>
    </row>
    <row r="199" customHeight="1" spans="2:8">
      <c r="B199" s="18" t="s">
        <v>1757</v>
      </c>
      <c r="C199" s="19" t="s">
        <v>722</v>
      </c>
      <c r="D199" s="20" t="s">
        <v>1798</v>
      </c>
      <c r="E199" s="13">
        <v>1.5</v>
      </c>
      <c r="F199" s="21"/>
      <c r="G199" s="15" t="e">
        <f>'服务BOQ（含在途、入场、现场服务工时、离场交接）'!$T$35</f>
        <v>#VALUE!</v>
      </c>
      <c r="H199" s="16" t="e">
        <f t="shared" si="3"/>
        <v>#VALUE!</v>
      </c>
    </row>
    <row r="200" customHeight="1" spans="2:8">
      <c r="B200" s="18" t="s">
        <v>1757</v>
      </c>
      <c r="C200" s="19" t="s">
        <v>722</v>
      </c>
      <c r="D200" s="20" t="s">
        <v>1799</v>
      </c>
      <c r="E200" s="13">
        <v>1.5</v>
      </c>
      <c r="F200" s="21"/>
      <c r="G200" s="15" t="e">
        <f>'服务BOQ（含在途、入场、现场服务工时、离场交接）'!$T$35</f>
        <v>#VALUE!</v>
      </c>
      <c r="H200" s="16" t="e">
        <f t="shared" si="3"/>
        <v>#VALUE!</v>
      </c>
    </row>
    <row r="201" customHeight="1" spans="2:8">
      <c r="B201" s="18" t="s">
        <v>1757</v>
      </c>
      <c r="C201" s="19" t="s">
        <v>722</v>
      </c>
      <c r="D201" s="20" t="s">
        <v>1800</v>
      </c>
      <c r="E201" s="13">
        <v>3</v>
      </c>
      <c r="F201" s="21"/>
      <c r="G201" s="15" t="e">
        <f>'服务BOQ（含在途、入场、现场服务工时、离场交接）'!$T$35</f>
        <v>#VALUE!</v>
      </c>
      <c r="H201" s="16" t="e">
        <f t="shared" si="3"/>
        <v>#VALUE!</v>
      </c>
    </row>
    <row r="202" customHeight="1" spans="2:8">
      <c r="B202" s="18" t="s">
        <v>1757</v>
      </c>
      <c r="C202" s="19" t="s">
        <v>722</v>
      </c>
      <c r="D202" s="20" t="s">
        <v>1801</v>
      </c>
      <c r="E202" s="13">
        <v>2.5</v>
      </c>
      <c r="F202" s="21"/>
      <c r="G202" s="15" t="e">
        <f>'服务BOQ（含在途、入场、现场服务工时、离场交接）'!$T$35</f>
        <v>#VALUE!</v>
      </c>
      <c r="H202" s="16" t="e">
        <f t="shared" si="3"/>
        <v>#VALUE!</v>
      </c>
    </row>
    <row r="203" customHeight="1" spans="2:8">
      <c r="B203" s="18" t="s">
        <v>1757</v>
      </c>
      <c r="C203" s="19" t="s">
        <v>722</v>
      </c>
      <c r="D203" s="20" t="s">
        <v>1802</v>
      </c>
      <c r="E203" s="13">
        <v>1.5</v>
      </c>
      <c r="F203" s="21"/>
      <c r="G203" s="15" t="e">
        <f>'服务BOQ（含在途、入场、现场服务工时、离场交接）'!$T$35</f>
        <v>#VALUE!</v>
      </c>
      <c r="H203" s="16" t="e">
        <f t="shared" si="3"/>
        <v>#VALUE!</v>
      </c>
    </row>
    <row r="204" customHeight="1" spans="2:8">
      <c r="B204" s="18" t="s">
        <v>1757</v>
      </c>
      <c r="C204" s="19" t="s">
        <v>722</v>
      </c>
      <c r="D204" s="20" t="s">
        <v>1727</v>
      </c>
      <c r="E204" s="13">
        <v>1.3</v>
      </c>
      <c r="F204" s="21"/>
      <c r="G204" s="15" t="e">
        <f>'服务BOQ（含在途、入场、现场服务工时、离场交接）'!$T$35</f>
        <v>#VALUE!</v>
      </c>
      <c r="H204" s="16" t="e">
        <f t="shared" si="3"/>
        <v>#VALUE!</v>
      </c>
    </row>
    <row r="205" customHeight="1" spans="2:8">
      <c r="B205" s="18" t="s">
        <v>1757</v>
      </c>
      <c r="C205" s="19" t="s">
        <v>722</v>
      </c>
      <c r="D205" s="20" t="s">
        <v>1737</v>
      </c>
      <c r="E205" s="13">
        <v>4</v>
      </c>
      <c r="F205" s="21"/>
      <c r="G205" s="15" t="e">
        <f>'服务BOQ（含在途、入场、现场服务工时、离场交接）'!$T$35</f>
        <v>#VALUE!</v>
      </c>
      <c r="H205" s="16" t="e">
        <f t="shared" si="3"/>
        <v>#VALUE!</v>
      </c>
    </row>
    <row r="206" customHeight="1" spans="2:8">
      <c r="B206" s="18" t="s">
        <v>1757</v>
      </c>
      <c r="C206" s="19" t="s">
        <v>722</v>
      </c>
      <c r="D206" s="20" t="s">
        <v>1743</v>
      </c>
      <c r="E206" s="13">
        <v>4</v>
      </c>
      <c r="F206" s="21"/>
      <c r="G206" s="15" t="e">
        <f>'服务BOQ（含在途、入场、现场服务工时、离场交接）'!$T$35</f>
        <v>#VALUE!</v>
      </c>
      <c r="H206" s="16" t="e">
        <f t="shared" si="3"/>
        <v>#VALUE!</v>
      </c>
    </row>
    <row r="207" customHeight="1" spans="2:8">
      <c r="B207" s="18" t="s">
        <v>1757</v>
      </c>
      <c r="C207" s="19" t="s">
        <v>722</v>
      </c>
      <c r="D207" s="20" t="s">
        <v>1707</v>
      </c>
      <c r="E207" s="13">
        <v>2</v>
      </c>
      <c r="F207" s="21"/>
      <c r="G207" s="15" t="e">
        <f>'服务BOQ（含在途、入场、现场服务工时、离场交接）'!$T$35</f>
        <v>#VALUE!</v>
      </c>
      <c r="H207" s="16" t="e">
        <f t="shared" si="3"/>
        <v>#VALUE!</v>
      </c>
    </row>
    <row r="208" customHeight="1" spans="2:8">
      <c r="B208" s="18" t="s">
        <v>1757</v>
      </c>
      <c r="C208" s="19" t="s">
        <v>722</v>
      </c>
      <c r="D208" s="20" t="s">
        <v>1741</v>
      </c>
      <c r="E208" s="13">
        <v>1.5</v>
      </c>
      <c r="F208" s="21"/>
      <c r="G208" s="15" t="e">
        <f>'服务BOQ（含在途、入场、现场服务工时、离场交接）'!$T$35</f>
        <v>#VALUE!</v>
      </c>
      <c r="H208" s="16" t="e">
        <f t="shared" si="3"/>
        <v>#VALUE!</v>
      </c>
    </row>
    <row r="209" customHeight="1" spans="2:8">
      <c r="B209" s="18" t="s">
        <v>1757</v>
      </c>
      <c r="C209" s="19" t="s">
        <v>722</v>
      </c>
      <c r="D209" s="20" t="s">
        <v>1718</v>
      </c>
      <c r="E209" s="13">
        <v>1.5</v>
      </c>
      <c r="F209" s="21"/>
      <c r="G209" s="15" t="e">
        <f>'服务BOQ（含在途、入场、现场服务工时、离场交接）'!$T$35</f>
        <v>#VALUE!</v>
      </c>
      <c r="H209" s="16" t="e">
        <f t="shared" si="3"/>
        <v>#VALUE!</v>
      </c>
    </row>
    <row r="210" customHeight="1" spans="2:8">
      <c r="B210" s="18" t="s">
        <v>1757</v>
      </c>
      <c r="C210" s="19" t="s">
        <v>722</v>
      </c>
      <c r="D210" s="20" t="s">
        <v>1725</v>
      </c>
      <c r="E210" s="13">
        <v>1.5</v>
      </c>
      <c r="F210" s="21"/>
      <c r="G210" s="15" t="e">
        <f>'服务BOQ（含在途、入场、现场服务工时、离场交接）'!$T$35</f>
        <v>#VALUE!</v>
      </c>
      <c r="H210" s="16" t="e">
        <f t="shared" si="3"/>
        <v>#VALUE!</v>
      </c>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4</vt:i4>
      </vt:variant>
    </vt:vector>
  </HeadingPairs>
  <TitlesOfParts>
    <vt:vector size="4" baseType="lpstr">
      <vt:lpstr>服务BOQ-技术平台部1210</vt:lpstr>
      <vt:lpstr>附件1</vt:lpstr>
      <vt:lpstr>服务BOQ（含在途、入场、现场服务工时、离场交接）</vt:lpstr>
      <vt:lpstr>储能系统更换部件及耗时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Nila</cp:lastModifiedBy>
  <dcterms:created xsi:type="dcterms:W3CDTF">2006-09-16T00:00:00Z</dcterms:created>
  <dcterms:modified xsi:type="dcterms:W3CDTF">2026-06-30T12:43:20Z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EF3F8877AD06402CB2C637D935ED82DC_12</vt:lpwstr>
  </property>
  <property fmtid="{D5CDD505-2E9C-101B-9397-08002B2CF9AE}" pid="3" name="KSOProductBuildVer">
    <vt:lpwstr>2052-12.1.0.26895</vt:lpwstr>
  </property>
  <property fmtid="{D5CDD505-2E9C-101B-9397-08002B2CF9AE}" pid="4" name="CalculationRule">
    <vt:i4>0</vt:i4>
  </property>
</Properties>
</file>